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nib\Desktop\"/>
    </mc:Choice>
  </mc:AlternateContent>
  <xr:revisionPtr revIDLastSave="0" documentId="8_{D622F278-2095-417E-ACA7-40778146B82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Financials&gt;" sheetId="8" r:id="rId1"/>
    <sheet name="HistoricalFS" sheetId="7" r:id="rId2"/>
    <sheet name="Data&gt;" sheetId="9" r:id="rId3"/>
    <sheet name="Data Sheet" sheetId="6" r:id="rId4"/>
    <sheet name="Cash Flow Data" sheetId="10" r:id="rId5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00" i="7" l="1"/>
  <c r="K100" i="7"/>
  <c r="J100" i="7"/>
  <c r="I100" i="7"/>
  <c r="H100" i="7"/>
  <c r="G100" i="7"/>
  <c r="F100" i="7"/>
  <c r="E100" i="7"/>
  <c r="D100" i="7"/>
  <c r="C100" i="7"/>
  <c r="L102" i="7"/>
  <c r="K102" i="7"/>
  <c r="J102" i="7"/>
  <c r="I102" i="7"/>
  <c r="H102" i="7"/>
  <c r="G102" i="7"/>
  <c r="F102" i="7"/>
  <c r="E102" i="7"/>
  <c r="D102" i="7"/>
  <c r="C102" i="7"/>
  <c r="L99" i="7"/>
  <c r="K99" i="7"/>
  <c r="J99" i="7"/>
  <c r="I99" i="7"/>
  <c r="H99" i="7"/>
  <c r="G99" i="7"/>
  <c r="F99" i="7"/>
  <c r="E99" i="7"/>
  <c r="D99" i="7"/>
  <c r="C99" i="7"/>
  <c r="L96" i="7"/>
  <c r="K96" i="7"/>
  <c r="J96" i="7"/>
  <c r="I96" i="7"/>
  <c r="H96" i="7"/>
  <c r="G96" i="7"/>
  <c r="F96" i="7"/>
  <c r="E96" i="7"/>
  <c r="D96" i="7"/>
  <c r="C96" i="7"/>
  <c r="L94" i="7"/>
  <c r="K94" i="7"/>
  <c r="J94" i="7"/>
  <c r="I94" i="7"/>
  <c r="H94" i="7"/>
  <c r="G94" i="7"/>
  <c r="F94" i="7"/>
  <c r="E94" i="7"/>
  <c r="D94" i="7"/>
  <c r="C94" i="7"/>
  <c r="L90" i="7"/>
  <c r="K90" i="7"/>
  <c r="J90" i="7"/>
  <c r="I90" i="7"/>
  <c r="H90" i="7"/>
  <c r="G90" i="7"/>
  <c r="F90" i="7"/>
  <c r="E90" i="7"/>
  <c r="D90" i="7"/>
  <c r="L89" i="7"/>
  <c r="K89" i="7"/>
  <c r="J89" i="7"/>
  <c r="I89" i="7"/>
  <c r="H89" i="7"/>
  <c r="G89" i="7"/>
  <c r="F89" i="7"/>
  <c r="E89" i="7"/>
  <c r="D89" i="7"/>
  <c r="L88" i="7"/>
  <c r="K88" i="7"/>
  <c r="J88" i="7"/>
  <c r="I88" i="7"/>
  <c r="H88" i="7"/>
  <c r="G88" i="7"/>
  <c r="F88" i="7"/>
  <c r="E88" i="7"/>
  <c r="D88" i="7"/>
  <c r="L87" i="7"/>
  <c r="K87" i="7"/>
  <c r="J87" i="7"/>
  <c r="I87" i="7"/>
  <c r="H87" i="7"/>
  <c r="G87" i="7"/>
  <c r="F87" i="7"/>
  <c r="E87" i="7"/>
  <c r="D87" i="7"/>
  <c r="C90" i="7"/>
  <c r="C89" i="7"/>
  <c r="C88" i="7"/>
  <c r="C87" i="7"/>
  <c r="L86" i="7"/>
  <c r="K86" i="7"/>
  <c r="J86" i="7"/>
  <c r="I86" i="7"/>
  <c r="H86" i="7"/>
  <c r="G86" i="7"/>
  <c r="F86" i="7"/>
  <c r="E86" i="7"/>
  <c r="D86" i="7"/>
  <c r="L85" i="7"/>
  <c r="K85" i="7"/>
  <c r="J85" i="7"/>
  <c r="I85" i="7"/>
  <c r="H85" i="7"/>
  <c r="G85" i="7"/>
  <c r="F85" i="7"/>
  <c r="E85" i="7"/>
  <c r="D85" i="7"/>
  <c r="L84" i="7"/>
  <c r="K84" i="7"/>
  <c r="J84" i="7"/>
  <c r="I84" i="7"/>
  <c r="H84" i="7"/>
  <c r="G84" i="7"/>
  <c r="F84" i="7"/>
  <c r="E84" i="7"/>
  <c r="D84" i="7"/>
  <c r="C86" i="7"/>
  <c r="C85" i="7"/>
  <c r="C84" i="7"/>
  <c r="L82" i="7"/>
  <c r="K82" i="7"/>
  <c r="J82" i="7"/>
  <c r="I82" i="7"/>
  <c r="H82" i="7"/>
  <c r="G82" i="7"/>
  <c r="F82" i="7"/>
  <c r="E82" i="7"/>
  <c r="D82" i="7"/>
  <c r="C82" i="7"/>
  <c r="L77" i="7"/>
  <c r="K77" i="7"/>
  <c r="J77" i="7"/>
  <c r="I77" i="7"/>
  <c r="I79" i="7" s="1"/>
  <c r="H77" i="7"/>
  <c r="G77" i="7"/>
  <c r="F77" i="7"/>
  <c r="E77" i="7"/>
  <c r="E79" i="7" s="1"/>
  <c r="D77" i="7"/>
  <c r="L76" i="7"/>
  <c r="K76" i="7"/>
  <c r="J76" i="7"/>
  <c r="I76" i="7"/>
  <c r="H76" i="7"/>
  <c r="G76" i="7"/>
  <c r="F76" i="7"/>
  <c r="E76" i="7"/>
  <c r="D76" i="7"/>
  <c r="L75" i="7"/>
  <c r="K75" i="7"/>
  <c r="J75" i="7"/>
  <c r="I75" i="7"/>
  <c r="H75" i="7"/>
  <c r="G75" i="7"/>
  <c r="F75" i="7"/>
  <c r="E75" i="7"/>
  <c r="D75" i="7"/>
  <c r="L74" i="7"/>
  <c r="K74" i="7"/>
  <c r="J74" i="7"/>
  <c r="I74" i="7"/>
  <c r="H74" i="7"/>
  <c r="G74" i="7"/>
  <c r="F74" i="7"/>
  <c r="E74" i="7"/>
  <c r="D74" i="7"/>
  <c r="L73" i="7"/>
  <c r="K73" i="7"/>
  <c r="J73" i="7"/>
  <c r="I73" i="7"/>
  <c r="H73" i="7"/>
  <c r="G73" i="7"/>
  <c r="F73" i="7"/>
  <c r="E73" i="7"/>
  <c r="D73" i="7"/>
  <c r="C77" i="7"/>
  <c r="C76" i="7"/>
  <c r="C75" i="7"/>
  <c r="C74" i="7"/>
  <c r="C73" i="7"/>
  <c r="L83" i="7"/>
  <c r="K83" i="7"/>
  <c r="J83" i="7"/>
  <c r="I83" i="7"/>
  <c r="H83" i="7"/>
  <c r="G83" i="7"/>
  <c r="F83" i="7"/>
  <c r="E83" i="7"/>
  <c r="D83" i="7"/>
  <c r="C83" i="7"/>
  <c r="L71" i="7"/>
  <c r="K71" i="7"/>
  <c r="J71" i="7"/>
  <c r="I71" i="7"/>
  <c r="H71" i="7"/>
  <c r="G71" i="7"/>
  <c r="F71" i="7"/>
  <c r="E71" i="7"/>
  <c r="D71" i="7"/>
  <c r="L70" i="7"/>
  <c r="K70" i="7"/>
  <c r="K79" i="7" s="1"/>
  <c r="J70" i="7"/>
  <c r="I70" i="7"/>
  <c r="H70" i="7"/>
  <c r="G70" i="7"/>
  <c r="G79" i="7" s="1"/>
  <c r="F70" i="7"/>
  <c r="E70" i="7"/>
  <c r="D70" i="7"/>
  <c r="C71" i="7"/>
  <c r="C70" i="7"/>
  <c r="C79" i="7" s="1"/>
  <c r="L56" i="7"/>
  <c r="K56" i="7"/>
  <c r="J56" i="7"/>
  <c r="I56" i="7"/>
  <c r="H56" i="7"/>
  <c r="G56" i="7"/>
  <c r="F56" i="7"/>
  <c r="E56" i="7"/>
  <c r="D56" i="7"/>
  <c r="C56" i="7"/>
  <c r="L61" i="7"/>
  <c r="K61" i="7"/>
  <c r="J61" i="7"/>
  <c r="I61" i="7"/>
  <c r="H61" i="7"/>
  <c r="G61" i="7"/>
  <c r="F61" i="7"/>
  <c r="E61" i="7"/>
  <c r="D61" i="7"/>
  <c r="L60" i="7"/>
  <c r="K60" i="7"/>
  <c r="J60" i="7"/>
  <c r="I60" i="7"/>
  <c r="H60" i="7"/>
  <c r="G60" i="7"/>
  <c r="F60" i="7"/>
  <c r="E60" i="7"/>
  <c r="D60" i="7"/>
  <c r="L59" i="7"/>
  <c r="K59" i="7"/>
  <c r="J59" i="7"/>
  <c r="I59" i="7"/>
  <c r="H59" i="7"/>
  <c r="G59" i="7"/>
  <c r="F59" i="7"/>
  <c r="E59" i="7"/>
  <c r="D59" i="7"/>
  <c r="C61" i="7"/>
  <c r="C60" i="7"/>
  <c r="C59" i="7"/>
  <c r="L55" i="7"/>
  <c r="K55" i="7"/>
  <c r="J55" i="7"/>
  <c r="I55" i="7"/>
  <c r="H55" i="7"/>
  <c r="G55" i="7"/>
  <c r="F55" i="7"/>
  <c r="E55" i="7"/>
  <c r="D55" i="7"/>
  <c r="L54" i="7"/>
  <c r="K54" i="7"/>
  <c r="J54" i="7"/>
  <c r="I54" i="7"/>
  <c r="H54" i="7"/>
  <c r="G54" i="7"/>
  <c r="F54" i="7"/>
  <c r="E54" i="7"/>
  <c r="D54" i="7"/>
  <c r="L53" i="7"/>
  <c r="K53" i="7"/>
  <c r="J53" i="7"/>
  <c r="I53" i="7"/>
  <c r="I57" i="7" s="1"/>
  <c r="H53" i="7"/>
  <c r="G53" i="7"/>
  <c r="F53" i="7"/>
  <c r="E53" i="7"/>
  <c r="D53" i="7"/>
  <c r="C55" i="7"/>
  <c r="C54" i="7"/>
  <c r="C53" i="7"/>
  <c r="L51" i="7"/>
  <c r="K51" i="7"/>
  <c r="J51" i="7"/>
  <c r="I51" i="7"/>
  <c r="H51" i="7"/>
  <c r="G51" i="7"/>
  <c r="F51" i="7"/>
  <c r="E51" i="7"/>
  <c r="D51" i="7"/>
  <c r="L50" i="7"/>
  <c r="K50" i="7"/>
  <c r="J50" i="7"/>
  <c r="I50" i="7"/>
  <c r="H50" i="7"/>
  <c r="G50" i="7"/>
  <c r="F50" i="7"/>
  <c r="E50" i="7"/>
  <c r="D50" i="7"/>
  <c r="L49" i="7"/>
  <c r="K49" i="7"/>
  <c r="J49" i="7"/>
  <c r="I49" i="7"/>
  <c r="H49" i="7"/>
  <c r="G49" i="7"/>
  <c r="F49" i="7"/>
  <c r="E49" i="7"/>
  <c r="D49" i="7"/>
  <c r="L48" i="7"/>
  <c r="K48" i="7"/>
  <c r="J48" i="7"/>
  <c r="I48" i="7"/>
  <c r="H48" i="7"/>
  <c r="G48" i="7"/>
  <c r="F48" i="7"/>
  <c r="E48" i="7"/>
  <c r="D48" i="7"/>
  <c r="L47" i="7"/>
  <c r="K47" i="7"/>
  <c r="J47" i="7"/>
  <c r="I47" i="7"/>
  <c r="H47" i="7"/>
  <c r="G47" i="7"/>
  <c r="F47" i="7"/>
  <c r="E47" i="7"/>
  <c r="D47" i="7"/>
  <c r="C51" i="7"/>
  <c r="C50" i="7"/>
  <c r="C49" i="7"/>
  <c r="C48" i="7"/>
  <c r="C47" i="7"/>
  <c r="D36" i="7"/>
  <c r="D41" i="7" s="1"/>
  <c r="E36" i="7"/>
  <c r="E41" i="7" s="1"/>
  <c r="F36" i="7"/>
  <c r="F41" i="7" s="1"/>
  <c r="G36" i="7"/>
  <c r="G41" i="7" s="1"/>
  <c r="H36" i="7"/>
  <c r="H41" i="7" s="1"/>
  <c r="I36" i="7"/>
  <c r="I41" i="7" s="1"/>
  <c r="J36" i="7"/>
  <c r="J41" i="7" s="1"/>
  <c r="K36" i="7"/>
  <c r="K41" i="7" s="1"/>
  <c r="L36" i="7"/>
  <c r="M36" i="7" s="1"/>
  <c r="M41" i="7" s="1"/>
  <c r="C36" i="7"/>
  <c r="C41" i="7" s="1"/>
  <c r="M30" i="7"/>
  <c r="L30" i="7"/>
  <c r="K30" i="7"/>
  <c r="J30" i="7"/>
  <c r="I30" i="7"/>
  <c r="H30" i="7"/>
  <c r="G30" i="7"/>
  <c r="F30" i="7"/>
  <c r="E30" i="7"/>
  <c r="D30" i="7"/>
  <c r="C30" i="7"/>
  <c r="M24" i="7"/>
  <c r="L24" i="7"/>
  <c r="K24" i="7"/>
  <c r="J24" i="7"/>
  <c r="I24" i="7"/>
  <c r="H24" i="7"/>
  <c r="G24" i="7"/>
  <c r="F24" i="7"/>
  <c r="E24" i="7"/>
  <c r="D24" i="7"/>
  <c r="C24" i="7"/>
  <c r="M21" i="7"/>
  <c r="C21" i="7"/>
  <c r="D21" i="7"/>
  <c r="E21" i="7"/>
  <c r="F21" i="7"/>
  <c r="G21" i="7"/>
  <c r="H21" i="7"/>
  <c r="I21" i="7"/>
  <c r="J21" i="7"/>
  <c r="K21" i="7"/>
  <c r="L21" i="7"/>
  <c r="L15" i="7"/>
  <c r="K15" i="7"/>
  <c r="J15" i="7"/>
  <c r="I15" i="7"/>
  <c r="H15" i="7"/>
  <c r="G15" i="7"/>
  <c r="F15" i="7"/>
  <c r="E15" i="7"/>
  <c r="D15" i="7"/>
  <c r="C15" i="7"/>
  <c r="M9" i="7"/>
  <c r="C9" i="7"/>
  <c r="L9" i="7"/>
  <c r="K9" i="7"/>
  <c r="J9" i="7"/>
  <c r="I9" i="7"/>
  <c r="H9" i="7"/>
  <c r="G9" i="7"/>
  <c r="F9" i="7"/>
  <c r="E9" i="7"/>
  <c r="D9" i="7"/>
  <c r="M6" i="7"/>
  <c r="D6" i="7"/>
  <c r="E6" i="7"/>
  <c r="F6" i="7"/>
  <c r="G6" i="7"/>
  <c r="H6" i="7"/>
  <c r="I6" i="7"/>
  <c r="J6" i="7"/>
  <c r="K6" i="7"/>
  <c r="L6" i="7"/>
  <c r="C6" i="7"/>
  <c r="C12" i="7" s="1"/>
  <c r="C13" i="7" s="1"/>
  <c r="L3" i="7"/>
  <c r="D3" i="7"/>
  <c r="E3" i="7"/>
  <c r="F3" i="7"/>
  <c r="G3" i="7"/>
  <c r="H3" i="7"/>
  <c r="I3" i="7"/>
  <c r="J3" i="7"/>
  <c r="K3" i="7"/>
  <c r="C3" i="7"/>
  <c r="B2" i="7"/>
  <c r="B6" i="6"/>
  <c r="E1" i="6"/>
  <c r="J16" i="7" l="1"/>
  <c r="F16" i="7"/>
  <c r="G57" i="7"/>
  <c r="K57" i="7"/>
  <c r="E57" i="7"/>
  <c r="C62" i="7"/>
  <c r="E62" i="7"/>
  <c r="I62" i="7"/>
  <c r="I64" i="7" s="1"/>
  <c r="I66" i="7" s="1"/>
  <c r="J91" i="7"/>
  <c r="F91" i="7"/>
  <c r="D57" i="7"/>
  <c r="H57" i="7"/>
  <c r="L57" i="7"/>
  <c r="F62" i="7"/>
  <c r="J62" i="7"/>
  <c r="C57" i="7"/>
  <c r="C64" i="7" s="1"/>
  <c r="C66" i="7" s="1"/>
  <c r="G62" i="7"/>
  <c r="K62" i="7"/>
  <c r="F79" i="7"/>
  <c r="J79" i="7"/>
  <c r="J105" i="7" s="1"/>
  <c r="E103" i="7"/>
  <c r="I103" i="7"/>
  <c r="H103" i="7"/>
  <c r="F57" i="7"/>
  <c r="F64" i="7" s="1"/>
  <c r="F66" i="7" s="1"/>
  <c r="J57" i="7"/>
  <c r="D62" i="7"/>
  <c r="D64" i="7" s="1"/>
  <c r="D66" i="7" s="1"/>
  <c r="H62" i="7"/>
  <c r="L62" i="7"/>
  <c r="L64" i="7" s="1"/>
  <c r="L66" i="7" s="1"/>
  <c r="E91" i="7"/>
  <c r="E105" i="7" s="1"/>
  <c r="I91" i="7"/>
  <c r="I105" i="7" s="1"/>
  <c r="D79" i="7"/>
  <c r="H79" i="7"/>
  <c r="L79" i="7"/>
  <c r="F103" i="7"/>
  <c r="F105" i="7" s="1"/>
  <c r="J103" i="7"/>
  <c r="C91" i="7"/>
  <c r="D91" i="7"/>
  <c r="H91" i="7"/>
  <c r="L91" i="7"/>
  <c r="G91" i="7"/>
  <c r="K91" i="7"/>
  <c r="C103" i="7"/>
  <c r="G103" i="7"/>
  <c r="K103" i="7"/>
  <c r="D103" i="7"/>
  <c r="L103" i="7"/>
  <c r="J64" i="7"/>
  <c r="J66" i="7" s="1"/>
  <c r="G64" i="7"/>
  <c r="G66" i="7" s="1"/>
  <c r="E64" i="7"/>
  <c r="E66" i="7" s="1"/>
  <c r="I22" i="7"/>
  <c r="E22" i="7"/>
  <c r="M12" i="7"/>
  <c r="M18" i="7" s="1"/>
  <c r="M19" i="7" s="1"/>
  <c r="L41" i="7"/>
  <c r="G10" i="7"/>
  <c r="K10" i="7"/>
  <c r="C16" i="7"/>
  <c r="G16" i="7"/>
  <c r="K16" i="7"/>
  <c r="M22" i="7"/>
  <c r="G25" i="7"/>
  <c r="K25" i="7"/>
  <c r="J22" i="7"/>
  <c r="F22" i="7"/>
  <c r="F25" i="7"/>
  <c r="J25" i="7"/>
  <c r="L10" i="7"/>
  <c r="H10" i="7"/>
  <c r="D10" i="7"/>
  <c r="E12" i="7"/>
  <c r="I12" i="7"/>
  <c r="C10" i="7"/>
  <c r="E16" i="7"/>
  <c r="I16" i="7"/>
  <c r="L22" i="7"/>
  <c r="H22" i="7"/>
  <c r="D22" i="7"/>
  <c r="D25" i="7"/>
  <c r="H25" i="7"/>
  <c r="L25" i="7"/>
  <c r="K7" i="7"/>
  <c r="G7" i="7"/>
  <c r="F10" i="7"/>
  <c r="J10" i="7"/>
  <c r="K22" i="7"/>
  <c r="G22" i="7"/>
  <c r="C22" i="7"/>
  <c r="E25" i="7"/>
  <c r="I25" i="7"/>
  <c r="M25" i="7"/>
  <c r="F7" i="7"/>
  <c r="C18" i="7"/>
  <c r="D16" i="7"/>
  <c r="H16" i="7"/>
  <c r="L16" i="7"/>
  <c r="C25" i="7"/>
  <c r="E7" i="7"/>
  <c r="I7" i="7"/>
  <c r="E10" i="7"/>
  <c r="I10" i="7"/>
  <c r="M10" i="7"/>
  <c r="F12" i="7"/>
  <c r="J12" i="7"/>
  <c r="J7" i="7"/>
  <c r="G12" i="7"/>
  <c r="K12" i="7"/>
  <c r="M16" i="7"/>
  <c r="D12" i="7"/>
  <c r="H12" i="7"/>
  <c r="L12" i="7"/>
  <c r="D7" i="7"/>
  <c r="H7" i="7"/>
  <c r="L7" i="7"/>
  <c r="K64" i="7" l="1"/>
  <c r="K66" i="7" s="1"/>
  <c r="H64" i="7"/>
  <c r="H66" i="7" s="1"/>
  <c r="K105" i="7"/>
  <c r="H105" i="7"/>
  <c r="G105" i="7"/>
  <c r="C105" i="7"/>
  <c r="D105" i="7"/>
  <c r="L105" i="7"/>
  <c r="M27" i="7"/>
  <c r="M31" i="7" s="1"/>
  <c r="M13" i="7"/>
  <c r="C19" i="7"/>
  <c r="C27" i="7"/>
  <c r="H18" i="7"/>
  <c r="H13" i="7"/>
  <c r="E18" i="7"/>
  <c r="E13" i="7"/>
  <c r="D18" i="7"/>
  <c r="D13" i="7"/>
  <c r="G18" i="7"/>
  <c r="G13" i="7"/>
  <c r="J18" i="7"/>
  <c r="J13" i="7"/>
  <c r="L18" i="7"/>
  <c r="L13" i="7"/>
  <c r="K18" i="7"/>
  <c r="K13" i="7"/>
  <c r="F18" i="7"/>
  <c r="F13" i="7"/>
  <c r="I18" i="7"/>
  <c r="I13" i="7"/>
  <c r="M33" i="7" l="1"/>
  <c r="M34" i="7" s="1"/>
  <c r="M28" i="7"/>
  <c r="C33" i="7"/>
  <c r="C38" i="7" s="1"/>
  <c r="C28" i="7"/>
  <c r="C31" i="7"/>
  <c r="F19" i="7"/>
  <c r="F27" i="7"/>
  <c r="G19" i="7"/>
  <c r="G27" i="7"/>
  <c r="I19" i="7"/>
  <c r="I27" i="7"/>
  <c r="K19" i="7"/>
  <c r="K27" i="7"/>
  <c r="J19" i="7"/>
  <c r="J27" i="7"/>
  <c r="D19" i="7"/>
  <c r="D27" i="7"/>
  <c r="H19" i="7"/>
  <c r="H27" i="7"/>
  <c r="M38" i="7"/>
  <c r="L19" i="7"/>
  <c r="L27" i="7"/>
  <c r="E19" i="7"/>
  <c r="E27" i="7"/>
  <c r="M42" i="7" l="1"/>
  <c r="M44" i="7" s="1"/>
  <c r="C42" i="7"/>
  <c r="C44" i="7" s="1"/>
  <c r="C34" i="7"/>
  <c r="E31" i="7"/>
  <c r="E28" i="7"/>
  <c r="E33" i="7"/>
  <c r="D31" i="7"/>
  <c r="D28" i="7"/>
  <c r="D33" i="7"/>
  <c r="K33" i="7"/>
  <c r="K31" i="7"/>
  <c r="K28" i="7"/>
  <c r="G33" i="7"/>
  <c r="G31" i="7"/>
  <c r="G28" i="7"/>
  <c r="I31" i="7"/>
  <c r="I28" i="7"/>
  <c r="I33" i="7"/>
  <c r="L28" i="7"/>
  <c r="L31" i="7"/>
  <c r="L33" i="7"/>
  <c r="H28" i="7"/>
  <c r="H31" i="7"/>
  <c r="H33" i="7"/>
  <c r="J31" i="7"/>
  <c r="J33" i="7"/>
  <c r="J28" i="7"/>
  <c r="F33" i="7"/>
  <c r="F31" i="7"/>
  <c r="F28" i="7"/>
  <c r="J38" i="7" l="1"/>
  <c r="J34" i="7"/>
  <c r="I34" i="7"/>
  <c r="I38" i="7"/>
  <c r="K38" i="7"/>
  <c r="K34" i="7"/>
  <c r="E34" i="7"/>
  <c r="E38" i="7"/>
  <c r="G38" i="7"/>
  <c r="G34" i="7"/>
  <c r="L38" i="7"/>
  <c r="L34" i="7"/>
  <c r="D34" i="7"/>
  <c r="D38" i="7"/>
  <c r="F38" i="7"/>
  <c r="F34" i="7"/>
  <c r="H34" i="7"/>
  <c r="H38" i="7"/>
  <c r="G39" i="7" l="1"/>
  <c r="G42" i="7"/>
  <c r="G44" i="7" s="1"/>
  <c r="K39" i="7"/>
  <c r="K42" i="7"/>
  <c r="K44" i="7" s="1"/>
  <c r="J39" i="7"/>
  <c r="J42" i="7"/>
  <c r="J44" i="7" s="1"/>
  <c r="E39" i="7"/>
  <c r="E42" i="7"/>
  <c r="E44" i="7" s="1"/>
  <c r="I39" i="7"/>
  <c r="I42" i="7"/>
  <c r="I44" i="7" s="1"/>
  <c r="F39" i="7"/>
  <c r="F42" i="7"/>
  <c r="F44" i="7" s="1"/>
  <c r="L39" i="7"/>
  <c r="L42" i="7"/>
  <c r="L44" i="7" s="1"/>
  <c r="M39" i="7"/>
  <c r="H39" i="7"/>
  <c r="H42" i="7"/>
  <c r="H44" i="7" s="1"/>
  <c r="D39" i="7"/>
  <c r="D42" i="7"/>
  <c r="D44" i="7" s="1"/>
</calcChain>
</file>

<file path=xl/sharedStrings.xml><?xml version="1.0" encoding="utf-8"?>
<sst xmlns="http://schemas.openxmlformats.org/spreadsheetml/2006/main" count="177" uniqueCount="127">
  <si>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</si>
  <si>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</si>
  <si>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</si>
  <si>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</si>
  <si>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</si>
  <si>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</si>
  <si>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</si>
  <si>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</si>
  <si>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</si>
  <si>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</si>
  <si>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</si>
  <si>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</si>
  <si>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</si>
  <si>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</si>
  <si>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</si>
  <si>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</si>
  <si>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</si>
  <si>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</si>
  <si>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</si>
  <si>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</si>
  <si>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</si>
  <si>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</si>
  <si>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</si>
  <si>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</si>
  <si>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</si>
  <si>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</si>
  <si>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</si>
  <si>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</si>
  <si>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</si>
  <si>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</si>
  <si>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</si>
  <si>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</si>
  <si>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INFOSYS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</si>
  <si>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</si>
  <si>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</si>
  <si>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</si>
  <si>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</si>
  <si>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</si>
  <si>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</si>
  <si>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</si>
  <si>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</si>
  <si>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</si>
  <si>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</si>
  <si>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</si>
  <si>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</si>
  <si>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</si>
  <si>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</si>
  <si>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</si>
  <si>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</si>
  <si>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</si>
  <si>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</si>
  <si>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</si>
  <si>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</si>
  <si>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</si>
  <si>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 xml:space="preserve">Years </t>
  </si>
  <si>
    <t>LTM</t>
  </si>
  <si>
    <t>#</t>
  </si>
  <si>
    <t xml:space="preserve">Income Statement </t>
  </si>
  <si>
    <t xml:space="preserve">Sales Growth </t>
  </si>
  <si>
    <t>-</t>
  </si>
  <si>
    <t>COS</t>
  </si>
  <si>
    <t>COS % Sales</t>
  </si>
  <si>
    <t xml:space="preserve">Gross Profit </t>
  </si>
  <si>
    <t xml:space="preserve">Selling &amp; General Expenses </t>
  </si>
  <si>
    <t>SG&amp;A % Sales</t>
  </si>
  <si>
    <t>EBITDA</t>
  </si>
  <si>
    <t>EBITDA % Sales</t>
  </si>
  <si>
    <t xml:space="preserve">Interest </t>
  </si>
  <si>
    <t>Interest % Sales</t>
  </si>
  <si>
    <t>Depreciation % Sales</t>
  </si>
  <si>
    <t>Gross Margins</t>
  </si>
  <si>
    <t xml:space="preserve">Earnings Before Tax </t>
  </si>
  <si>
    <t>EBT % Sales</t>
  </si>
  <si>
    <t xml:space="preserve">Tax </t>
  </si>
  <si>
    <t xml:space="preserve">Effective Tax rate </t>
  </si>
  <si>
    <t>Net Profit</t>
  </si>
  <si>
    <t>Net Margin</t>
  </si>
  <si>
    <t>No. of Equity Shares O/S</t>
  </si>
  <si>
    <t xml:space="preserve">Earnings Per Share </t>
  </si>
  <si>
    <t xml:space="preserve">Dividends Per Share </t>
  </si>
  <si>
    <t xml:space="preserve">EPS growth % </t>
  </si>
  <si>
    <t xml:space="preserve">Dividend Payout Ratio </t>
  </si>
  <si>
    <t>Retained Earnings</t>
  </si>
  <si>
    <t xml:space="preserve">Balance Sheet </t>
  </si>
  <si>
    <t>Total Liabilities</t>
  </si>
  <si>
    <t>Fixed Assets Net Block</t>
  </si>
  <si>
    <t xml:space="preserve">Total Non Current Asset </t>
  </si>
  <si>
    <t xml:space="preserve">Total Current Asset </t>
  </si>
  <si>
    <t xml:space="preserve">Total Asset 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</si>
  <si>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</si>
  <si>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</si>
  <si>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</si>
  <si>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</si>
  <si>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</si>
  <si>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</si>
  <si>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</si>
  <si>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Other operating items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</si>
  <si>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</si>
  <si>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</si>
  <si>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</si>
  <si>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</si>
  <si>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</si>
  <si>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</si>
  <si>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</si>
  <si>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</si>
  <si>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>Proceeds from shares</t>
  </si>
  <si>
    <t>Proceeds from borrowings</t>
  </si>
  <si>
    <t>Repayment of borrowings</t>
  </si>
  <si>
    <t>Proceeds from deposits</t>
  </si>
  <si>
    <t>Interest paid fin</t>
  </si>
  <si>
    <t>Dividends paid</t>
  </si>
  <si>
    <t>Financial liabilities</t>
  </si>
  <si>
    <t>Application money refund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</si>
  <si>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</si>
  <si>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</si>
  <si>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</si>
  <si>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</si>
  <si>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</si>
  <si>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</si>
  <si>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 xml:space="preserve">Cash Flow Statement </t>
  </si>
  <si>
    <t xml:space="preserve"> Operating Activities</t>
  </si>
  <si>
    <t xml:space="preserve">Cash from Operating Activities </t>
  </si>
  <si>
    <t xml:space="preserve">Investing Activities </t>
  </si>
  <si>
    <t xml:space="preserve">Cash from Investing Activities </t>
  </si>
  <si>
    <t>Financing Activities</t>
  </si>
  <si>
    <t xml:space="preserve">Cash from Financing  Activities </t>
  </si>
  <si>
    <t>Inter corporate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</si>
</sst>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[Red]&quot;₹&quot;\ #,##0.0"/>
    <numFmt numFmtId="167" formatCode="&quot;₹&quot;\ #,##0.0;\(&quot;₹&quot;\ #,##0.0\);\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30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0" fontId="5" fillId="4" borderId="0" xfId="0" applyFont="1" applyFill="1"/>
    <xf numFmtId="17" fontId="5" fillId="4" borderId="0" xfId="0" applyNumberFormat="1" applyFont="1" applyFill="1"/>
    <xf numFmtId="0" fontId="5" fillId="4" borderId="0" xfId="0" applyFont="1" applyFill="1" applyAlignment="1">
      <alignment horizontal="right"/>
    </xf>
    <xf numFmtId="166" fontId="0" fillId="0" borderId="0" xfId="0" applyNumberFormat="1"/>
    <xf numFmtId="0" fontId="7" fillId="0" borderId="0" xfId="0" applyFont="1"/>
    <xf numFmtId="10" fontId="7" fillId="0" borderId="0" xfId="4" applyNumberFormat="1" applyFont="1"/>
    <xf numFmtId="0" fontId="1" fillId="5" borderId="0" xfId="0" applyFont="1" applyFill="1"/>
    <xf numFmtId="0" fontId="0" fillId="5" borderId="0" xfId="0" applyFill="1"/>
    <xf numFmtId="0" fontId="0" fillId="6" borderId="0" xfId="0" applyFill="1"/>
    <xf numFmtId="0" fontId="5" fillId="6" borderId="0" xfId="0" applyFont="1" applyFill="1"/>
    <xf numFmtId="17" fontId="5" fillId="6" borderId="0" xfId="0" applyNumberFormat="1" applyFont="1" applyFill="1"/>
    <xf numFmtId="0" fontId="5" fillId="6" borderId="0" xfId="0" applyFont="1" applyFill="1" applyAlignment="1">
      <alignment horizontal="right"/>
    </xf>
    <xf numFmtId="167" fontId="0" fillId="0" borderId="0" xfId="0" applyNumberFormat="1"/>
    <xf numFmtId="167" fontId="0" fillId="0" borderId="0" xfId="0" applyNumberFormat="1" applyAlignment="1">
      <alignment horizontal="center"/>
    </xf>
    <xf numFmtId="167" fontId="1" fillId="0" borderId="0" xfId="0" applyNumberFormat="1" applyFont="1"/>
    <xf numFmtId="17" fontId="0" fillId="0" borderId="0" xfId="0" applyNumberFormat="1"/>
    <xf numFmtId="3" fontId="0" fillId="0" borderId="0" xfId="0" applyNumberFormat="1"/>
    <xf numFmtId="9" fontId="0" fillId="0" borderId="0" xfId="0" applyNumberFormat="1"/>
    <xf numFmtId="0" fontId="5" fillId="4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73A2-6A37-41B6-A3B5-B00024BC75ED}">
  <sheetPr>
    <tabColor rgb="FF0070C0"/>
  </sheetPr>
  <dimension ref="A1"/>
  <sheetViews>
    <sheetView workbookViewId="0">
      <selection activeCell="F21" sqref="F21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BF6F-DDFE-4815-AD8D-CA0C757DFF27}">
  <sheetPr>
    <tabColor theme="0"/>
    <pageSetUpPr autoPageBreaks="0"/>
  </sheetPr>
  <dimension ref="A2:N105"/>
  <sheetViews>
    <sheetView showGridLines="0" tabSelected="1" workbookViewId="0">
      <pane ySplit="3" topLeftCell="A95" activePane="bottomLeft" state="frozen"/>
      <selection pane="bottomLeft" activeCell="L105" sqref="L105"/>
    </sheetView>
  </sheetViews>
  <sheetFormatPr defaultRowHeight="14.5" outlineLevelRow="2" x14ac:dyDescent="0.35"/>
  <cols>
    <col min="1" max="1" width="1.81640625" customWidth="1"/>
    <col min="2" max="2" width="27" bestFit="1" customWidth="1"/>
    <col min="3" max="3" width="10.54296875" bestFit="1" customWidth="1"/>
    <col min="4" max="4" width="10.6328125" bestFit="1" customWidth="1"/>
    <col min="5" max="6" width="10.54296875" bestFit="1" customWidth="1"/>
    <col min="7" max="12" width="10.90625" bestFit="1" customWidth="1"/>
    <col min="13" max="13" width="10.7265625" bestFit="1" customWidth="1"/>
  </cols>
  <sheetData>
    <row r="2" spans="1:13" x14ac:dyDescent="0.35">
      <c r="B2" s="27" t="str">
        <f>"Historical Statement - " &amp; 'Data Sheet'!B1</f>
        <v>Historical Statement - INFOSYS LTD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x14ac:dyDescent="0.35">
      <c r="B3" s="9" t="s">
        <v>54</v>
      </c>
      <c r="C3" s="10">
        <f>IFERROR('Data Sheet'!B16,0)</f>
        <v>42825</v>
      </c>
      <c r="D3" s="10">
        <f>IFERROR('Data Sheet'!C16,0)</f>
        <v>43190</v>
      </c>
      <c r="E3" s="10">
        <f>IFERROR('Data Sheet'!D16,0)</f>
        <v>43555</v>
      </c>
      <c r="F3" s="10">
        <f>IFERROR('Data Sheet'!E16,0)</f>
        <v>43921</v>
      </c>
      <c r="G3" s="10">
        <f>IFERROR('Data Sheet'!F16,0)</f>
        <v>44286</v>
      </c>
      <c r="H3" s="10">
        <f>IFERROR('Data Sheet'!G16,0)</f>
        <v>44651</v>
      </c>
      <c r="I3" s="10">
        <f>IFERROR('Data Sheet'!H16,0)</f>
        <v>45016</v>
      </c>
      <c r="J3" s="10">
        <f>IFERROR('Data Sheet'!I16,0)</f>
        <v>45382</v>
      </c>
      <c r="K3" s="10">
        <f>IFERROR('Data Sheet'!J16,0)</f>
        <v>45747</v>
      </c>
      <c r="L3" s="10">
        <f>IFERROR('Data Sheet'!K16,0)</f>
        <v>46112</v>
      </c>
      <c r="M3" s="11" t="s">
        <v>55</v>
      </c>
    </row>
    <row r="4" spans="1:13" s="17" customFormat="1" x14ac:dyDescent="0.35"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20"/>
    </row>
    <row r="5" spans="1:13" x14ac:dyDescent="0.35">
      <c r="A5" t="s">
        <v>56</v>
      </c>
      <c r="B5" s="15" t="s">
        <v>57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outlineLevel="1" x14ac:dyDescent="0.35">
      <c r="B6" t="s">
        <v>1</v>
      </c>
      <c r="C6" s="21">
        <f>IFERROR('Data Sheet'!B17,0)</f>
        <v>68484</v>
      </c>
      <c r="D6" s="21">
        <f>IFERROR('Data Sheet'!C17,0)</f>
        <v>70522</v>
      </c>
      <c r="E6" s="21">
        <f>IFERROR('Data Sheet'!D17,0)</f>
        <v>82675</v>
      </c>
      <c r="F6" s="21">
        <f>IFERROR('Data Sheet'!E17,0)</f>
        <v>90791</v>
      </c>
      <c r="G6" s="21">
        <f>IFERROR('Data Sheet'!F17,0)</f>
        <v>100472</v>
      </c>
      <c r="H6" s="21">
        <f>IFERROR('Data Sheet'!G17,0)</f>
        <v>121641</v>
      </c>
      <c r="I6" s="21">
        <f>IFERROR('Data Sheet'!H17,0)</f>
        <v>146767</v>
      </c>
      <c r="J6" s="21">
        <f>IFERROR('Data Sheet'!I17,0)</f>
        <v>153670</v>
      </c>
      <c r="K6" s="21">
        <f>IFERROR('Data Sheet'!J17,0)</f>
        <v>162990</v>
      </c>
      <c r="L6" s="21">
        <f>IFERROR('Data Sheet'!K17,0)</f>
        <v>178650</v>
      </c>
      <c r="M6" s="21">
        <f>IFERROR(SUM('Data Sheet'!H42:K42),0)</f>
        <v>178650</v>
      </c>
    </row>
    <row r="7" spans="1:13" outlineLevel="1" x14ac:dyDescent="0.35">
      <c r="B7" s="13" t="s">
        <v>58</v>
      </c>
      <c r="C7" s="22" t="s">
        <v>59</v>
      </c>
      <c r="D7" s="14">
        <f>D6/C6-1</f>
        <v>2.9758775772443125E-2</v>
      </c>
      <c r="E7" s="14">
        <f t="shared" ref="E7:L7" si="0">E6/D6-1</f>
        <v>0.17232920223476356</v>
      </c>
      <c r="F7" s="14">
        <f t="shared" si="0"/>
        <v>9.8167523435137571E-2</v>
      </c>
      <c r="G7" s="14">
        <f t="shared" si="0"/>
        <v>0.10662951173574475</v>
      </c>
      <c r="H7" s="14">
        <f t="shared" si="0"/>
        <v>0.21069551715900947</v>
      </c>
      <c r="I7" s="14">
        <f t="shared" si="0"/>
        <v>0.20655864387829759</v>
      </c>
      <c r="J7" s="14">
        <f t="shared" si="0"/>
        <v>4.7033733741236095E-2</v>
      </c>
      <c r="K7" s="14">
        <f t="shared" si="0"/>
        <v>6.0649443612936782E-2</v>
      </c>
      <c r="L7" s="14">
        <f t="shared" si="0"/>
        <v>9.6079514080618544E-2</v>
      </c>
      <c r="M7" s="22" t="s">
        <v>59</v>
      </c>
    </row>
    <row r="8" spans="1:13" outlineLevel="1" x14ac:dyDescent="0.35"/>
    <row r="9" spans="1:13" outlineLevel="1" x14ac:dyDescent="0.35">
      <c r="B9" t="s">
        <v>60</v>
      </c>
      <c r="C9" s="21">
        <f>IFERROR(SUM('Data Sheet'!B20:B22)-1*'Data Sheet'!B19,0)</f>
        <v>44609</v>
      </c>
      <c r="D9" s="21">
        <f>IFERROR(SUM('Data Sheet'!C20:C22)-1*'Data Sheet'!C19,0)</f>
        <v>46395</v>
      </c>
      <c r="E9" s="21">
        <f>IFERROR(SUM('Data Sheet'!D20:D22)-1*'Data Sheet'!D19,0)</f>
        <v>55446</v>
      </c>
      <c r="F9" s="21">
        <f>IFERROR(SUM('Data Sheet'!E20:E22)-1*'Data Sheet'!E19,0)</f>
        <v>62210</v>
      </c>
      <c r="G9" s="21">
        <f>IFERROR(SUM('Data Sheet'!F20:F22)-1*'Data Sheet'!F19,0)</f>
        <v>68490</v>
      </c>
      <c r="H9" s="21">
        <f>IFERROR(SUM('Data Sheet'!G20:G22)-1*'Data Sheet'!G19,0)</f>
        <v>84819</v>
      </c>
      <c r="I9" s="21">
        <f>IFERROR(SUM('Data Sheet'!H20:H22)-1*'Data Sheet'!H19,0)</f>
        <v>104880</v>
      </c>
      <c r="J9" s="21">
        <f>IFERROR(SUM('Data Sheet'!I20:I22)-1*'Data Sheet'!I19,0)</f>
        <v>110030</v>
      </c>
      <c r="K9" s="21">
        <f>IFERROR(SUM('Data Sheet'!J20:J22)-1*'Data Sheet'!J19,0)</f>
        <v>116585</v>
      </c>
      <c r="L9" s="21">
        <f>IFERROR(SUM('Data Sheet'!K20:K22)-1*'Data Sheet'!K19,0)</f>
        <v>128257</v>
      </c>
      <c r="M9" s="21">
        <f>IFERROR(SUM('Data Sheet'!H43:K43),0)</f>
        <v>136371</v>
      </c>
    </row>
    <row r="10" spans="1:13" outlineLevel="1" x14ac:dyDescent="0.35">
      <c r="B10" s="13" t="s">
        <v>61</v>
      </c>
      <c r="C10" s="14">
        <f>C9/C6</f>
        <v>0.65137842415746738</v>
      </c>
      <c r="D10" s="14">
        <f t="shared" ref="D10:M10" si="1">D9/D6</f>
        <v>0.65787981055557132</v>
      </c>
      <c r="E10" s="14">
        <f t="shared" si="1"/>
        <v>0.67065013607499246</v>
      </c>
      <c r="F10" s="14">
        <f t="shared" si="1"/>
        <v>0.68520007489729162</v>
      </c>
      <c r="G10" s="14">
        <f t="shared" si="1"/>
        <v>0.68168245879448996</v>
      </c>
      <c r="H10" s="14">
        <f t="shared" si="1"/>
        <v>0.69728956519594543</v>
      </c>
      <c r="I10" s="14">
        <f t="shared" si="1"/>
        <v>0.71460205632056251</v>
      </c>
      <c r="J10" s="14">
        <f t="shared" si="1"/>
        <v>0.71601483698835167</v>
      </c>
      <c r="K10" s="14">
        <f t="shared" si="1"/>
        <v>0.71528928155101545</v>
      </c>
      <c r="L10" s="14">
        <f t="shared" si="1"/>
        <v>0.71792331374195351</v>
      </c>
      <c r="M10" s="14">
        <f t="shared" si="1"/>
        <v>0.76334172963895885</v>
      </c>
    </row>
    <row r="11" spans="1:13" outlineLevel="1" x14ac:dyDescent="0.35"/>
    <row r="12" spans="1:13" outlineLevel="1" x14ac:dyDescent="0.35">
      <c r="B12" t="s">
        <v>62</v>
      </c>
      <c r="C12" s="21">
        <f>C6-C9</f>
        <v>23875</v>
      </c>
      <c r="D12" s="21">
        <f t="shared" ref="D12:M12" si="2">D6-D9</f>
        <v>24127</v>
      </c>
      <c r="E12" s="21">
        <f t="shared" si="2"/>
        <v>27229</v>
      </c>
      <c r="F12" s="21">
        <f t="shared" si="2"/>
        <v>28581</v>
      </c>
      <c r="G12" s="21">
        <f t="shared" si="2"/>
        <v>31982</v>
      </c>
      <c r="H12" s="21">
        <f t="shared" si="2"/>
        <v>36822</v>
      </c>
      <c r="I12" s="21">
        <f t="shared" si="2"/>
        <v>41887</v>
      </c>
      <c r="J12" s="21">
        <f t="shared" si="2"/>
        <v>43640</v>
      </c>
      <c r="K12" s="21">
        <f t="shared" si="2"/>
        <v>46405</v>
      </c>
      <c r="L12" s="21">
        <f t="shared" si="2"/>
        <v>50393</v>
      </c>
      <c r="M12" s="21">
        <f t="shared" si="2"/>
        <v>42279</v>
      </c>
    </row>
    <row r="13" spans="1:13" outlineLevel="1" x14ac:dyDescent="0.35">
      <c r="B13" s="13" t="s">
        <v>70</v>
      </c>
      <c r="C13" s="14">
        <f>C12/C6</f>
        <v>0.34862157584253256</v>
      </c>
      <c r="D13" s="14">
        <f t="shared" ref="D13:M13" si="3">D12/D6</f>
        <v>0.34212018944442868</v>
      </c>
      <c r="E13" s="14">
        <f t="shared" si="3"/>
        <v>0.32934986392500754</v>
      </c>
      <c r="F13" s="14">
        <f t="shared" si="3"/>
        <v>0.31479992510270843</v>
      </c>
      <c r="G13" s="14">
        <f t="shared" si="3"/>
        <v>0.31831754120550998</v>
      </c>
      <c r="H13" s="14">
        <f t="shared" si="3"/>
        <v>0.30271043480405457</v>
      </c>
      <c r="I13" s="14">
        <f t="shared" si="3"/>
        <v>0.28539794367943749</v>
      </c>
      <c r="J13" s="14">
        <f t="shared" si="3"/>
        <v>0.28398516301164833</v>
      </c>
      <c r="K13" s="14">
        <f t="shared" si="3"/>
        <v>0.2847107184489846</v>
      </c>
      <c r="L13" s="14">
        <f t="shared" si="3"/>
        <v>0.28207668625804644</v>
      </c>
      <c r="M13" s="14">
        <f t="shared" si="3"/>
        <v>0.23665827036104115</v>
      </c>
    </row>
    <row r="14" spans="1:13" outlineLevel="1" x14ac:dyDescent="0.35"/>
    <row r="15" spans="1:13" outlineLevel="1" x14ac:dyDescent="0.35">
      <c r="B15" t="s">
        <v>63</v>
      </c>
      <c r="C15" s="21">
        <f>IFERROR(SUM('Data Sheet'!B23:B24),0)</f>
        <v>5271</v>
      </c>
      <c r="D15" s="21">
        <f>IFERROR(SUM('Data Sheet'!C23:C24),0)</f>
        <v>5305</v>
      </c>
      <c r="E15" s="21">
        <f>IFERROR(SUM('Data Sheet'!D23:D24),0)</f>
        <v>7059</v>
      </c>
      <c r="F15" s="21">
        <f>IFERROR(SUM('Data Sheet'!E23:E24),0)</f>
        <v>6314</v>
      </c>
      <c r="G15" s="21">
        <f>IFERROR(SUM('Data Sheet'!F23:F24),0)</f>
        <v>4093</v>
      </c>
      <c r="H15" s="21">
        <f>IFERROR(SUM('Data Sheet'!G23:G24),0)</f>
        <v>5331</v>
      </c>
      <c r="I15" s="21">
        <f>IFERROR(SUM('Data Sheet'!H23:H24),0)</f>
        <v>6757</v>
      </c>
      <c r="J15" s="21">
        <f>IFERROR(SUM('Data Sheet'!I23:I24),0)</f>
        <v>7215</v>
      </c>
      <c r="K15" s="21">
        <f>IFERROR(SUM('Data Sheet'!J23:J24),0)</f>
        <v>7169</v>
      </c>
      <c r="L15" s="21">
        <f>IFERROR(SUM('Data Sheet'!K23:K24),0)</f>
        <v>8113</v>
      </c>
      <c r="M15" s="21"/>
    </row>
    <row r="16" spans="1:13" outlineLevel="1" x14ac:dyDescent="0.35">
      <c r="B16" s="13" t="s">
        <v>64</v>
      </c>
      <c r="C16" s="14">
        <f>C15/C6</f>
        <v>7.6966882775538814E-2</v>
      </c>
      <c r="D16" s="14">
        <f t="shared" ref="D16:M16" si="4">D15/D6</f>
        <v>7.5224752559484978E-2</v>
      </c>
      <c r="E16" s="14">
        <f t="shared" si="4"/>
        <v>8.5382521923193233E-2</v>
      </c>
      <c r="F16" s="14">
        <f t="shared" si="4"/>
        <v>6.9544338095185648E-2</v>
      </c>
      <c r="G16" s="14">
        <f t="shared" si="4"/>
        <v>4.0737717971176049E-2</v>
      </c>
      <c r="H16" s="14">
        <f t="shared" si="4"/>
        <v>4.3825683774385282E-2</v>
      </c>
      <c r="I16" s="14">
        <f t="shared" si="4"/>
        <v>4.6038959711651804E-2</v>
      </c>
      <c r="J16" s="14">
        <f t="shared" si="4"/>
        <v>4.6951259191774584E-2</v>
      </c>
      <c r="K16" s="14">
        <f t="shared" si="4"/>
        <v>4.3984293514939564E-2</v>
      </c>
      <c r="L16" s="14">
        <f t="shared" si="4"/>
        <v>4.5412818359921635E-2</v>
      </c>
      <c r="M16" s="14">
        <f t="shared" si="4"/>
        <v>0</v>
      </c>
    </row>
    <row r="17" spans="2:14" outlineLevel="1" x14ac:dyDescent="0.35">
      <c r="C17" s="12"/>
    </row>
    <row r="18" spans="2:14" outlineLevel="1" x14ac:dyDescent="0.35">
      <c r="B18" t="s">
        <v>65</v>
      </c>
      <c r="C18" s="21">
        <f>C12-C15</f>
        <v>18604</v>
      </c>
      <c r="D18" s="21">
        <f t="shared" ref="D18:M18" si="5">D12-D15</f>
        <v>18822</v>
      </c>
      <c r="E18" s="21">
        <f t="shared" si="5"/>
        <v>20170</v>
      </c>
      <c r="F18" s="21">
        <f t="shared" si="5"/>
        <v>22267</v>
      </c>
      <c r="G18" s="21">
        <f t="shared" si="5"/>
        <v>27889</v>
      </c>
      <c r="H18" s="21">
        <f t="shared" si="5"/>
        <v>31491</v>
      </c>
      <c r="I18" s="21">
        <f t="shared" si="5"/>
        <v>35130</v>
      </c>
      <c r="J18" s="21">
        <f t="shared" si="5"/>
        <v>36425</v>
      </c>
      <c r="K18" s="21">
        <f t="shared" si="5"/>
        <v>39236</v>
      </c>
      <c r="L18" s="21">
        <f t="shared" si="5"/>
        <v>42280</v>
      </c>
      <c r="M18" s="21">
        <f t="shared" si="5"/>
        <v>42279</v>
      </c>
    </row>
    <row r="19" spans="2:14" outlineLevel="1" x14ac:dyDescent="0.35">
      <c r="B19" s="13" t="s">
        <v>66</v>
      </c>
      <c r="C19" s="14">
        <f>C18/C6</f>
        <v>0.27165469306699375</v>
      </c>
      <c r="D19" s="14">
        <f t="shared" ref="D19:M19" si="6">D18/D6</f>
        <v>0.26689543688494372</v>
      </c>
      <c r="E19" s="14">
        <f t="shared" si="6"/>
        <v>0.24396734200181433</v>
      </c>
      <c r="F19" s="14">
        <f t="shared" si="6"/>
        <v>0.24525558700752279</v>
      </c>
      <c r="G19" s="14">
        <f t="shared" si="6"/>
        <v>0.27757982323433394</v>
      </c>
      <c r="H19" s="14">
        <f t="shared" si="6"/>
        <v>0.25888475102966929</v>
      </c>
      <c r="I19" s="14">
        <f t="shared" si="6"/>
        <v>0.23935898396778568</v>
      </c>
      <c r="J19" s="14">
        <f t="shared" si="6"/>
        <v>0.23703390381987374</v>
      </c>
      <c r="K19" s="14">
        <f t="shared" si="6"/>
        <v>0.24072642493404503</v>
      </c>
      <c r="L19" s="14">
        <f t="shared" si="6"/>
        <v>0.23666386789812482</v>
      </c>
      <c r="M19" s="14">
        <f t="shared" si="6"/>
        <v>0.23665827036104115</v>
      </c>
    </row>
    <row r="20" spans="2:14" outlineLevel="1" x14ac:dyDescent="0.35"/>
    <row r="21" spans="2:14" outlineLevel="1" x14ac:dyDescent="0.35">
      <c r="B21" t="s">
        <v>67</v>
      </c>
      <c r="C21" s="21">
        <f>IFERROR(('Data Sheet'!B27),0)</f>
        <v>0</v>
      </c>
      <c r="D21" s="21">
        <f>IFERROR(('Data Sheet'!C27),0)</f>
        <v>0</v>
      </c>
      <c r="E21" s="21">
        <f>IFERROR(('Data Sheet'!D27),0)</f>
        <v>0</v>
      </c>
      <c r="F21" s="21">
        <f>IFERROR(('Data Sheet'!E27),0)</f>
        <v>170</v>
      </c>
      <c r="G21" s="21">
        <f>IFERROR(('Data Sheet'!F27),0)</f>
        <v>195</v>
      </c>
      <c r="H21" s="21">
        <f>IFERROR(('Data Sheet'!G27),0)</f>
        <v>200</v>
      </c>
      <c r="I21" s="21">
        <f>IFERROR(('Data Sheet'!H27),0)</f>
        <v>284</v>
      </c>
      <c r="J21" s="21">
        <f>IFERROR(('Data Sheet'!I27),0)</f>
        <v>470</v>
      </c>
      <c r="K21" s="21">
        <f>IFERROR(('Data Sheet'!J27),0)</f>
        <v>416</v>
      </c>
      <c r="L21" s="21">
        <f>IFERROR(('Data Sheet'!K27),0)</f>
        <v>416</v>
      </c>
      <c r="M21" s="21">
        <f>IFERROR(SUM('Data Sheet'!H46:K46),0)</f>
        <v>416</v>
      </c>
    </row>
    <row r="22" spans="2:14" outlineLevel="1" x14ac:dyDescent="0.35">
      <c r="B22" s="13" t="s">
        <v>68</v>
      </c>
      <c r="C22" s="14">
        <f>C21/C6</f>
        <v>0</v>
      </c>
      <c r="D22" s="14">
        <f t="shared" ref="D22:M22" si="7">D21/D6</f>
        <v>0</v>
      </c>
      <c r="E22" s="14">
        <f t="shared" si="7"/>
        <v>0</v>
      </c>
      <c r="F22" s="14">
        <f t="shared" si="7"/>
        <v>1.8724322895441179E-3</v>
      </c>
      <c r="G22" s="14">
        <f t="shared" si="7"/>
        <v>1.9408392387928975E-3</v>
      </c>
      <c r="H22" s="14">
        <f t="shared" si="7"/>
        <v>1.6441824713706726E-3</v>
      </c>
      <c r="I22" s="14">
        <f t="shared" si="7"/>
        <v>1.9350398931639945E-3</v>
      </c>
      <c r="J22" s="14">
        <f t="shared" si="7"/>
        <v>3.0585019847725646E-3</v>
      </c>
      <c r="K22" s="14">
        <f t="shared" si="7"/>
        <v>2.5523038223203877E-3</v>
      </c>
      <c r="L22" s="14">
        <f t="shared" si="7"/>
        <v>2.3285754268122026E-3</v>
      </c>
      <c r="M22" s="14">
        <f t="shared" si="7"/>
        <v>2.3285754268122026E-3</v>
      </c>
    </row>
    <row r="23" spans="2:14" outlineLevel="1" x14ac:dyDescent="0.35"/>
    <row r="24" spans="2:14" outlineLevel="1" x14ac:dyDescent="0.35">
      <c r="B24" s="4" t="s">
        <v>5</v>
      </c>
      <c r="C24" s="21">
        <f>IFERROR(('Data Sheet'!B26),0)</f>
        <v>1703</v>
      </c>
      <c r="D24" s="21">
        <f>IFERROR(('Data Sheet'!C26),0)</f>
        <v>1863</v>
      </c>
      <c r="E24" s="21">
        <f>IFERROR(('Data Sheet'!D26),0)</f>
        <v>2011</v>
      </c>
      <c r="F24" s="21">
        <f>IFERROR(('Data Sheet'!E26),0)</f>
        <v>2893</v>
      </c>
      <c r="G24" s="21">
        <f>IFERROR(('Data Sheet'!F26),0)</f>
        <v>3267</v>
      </c>
      <c r="H24" s="21">
        <f>IFERROR(('Data Sheet'!G26),0)</f>
        <v>3476</v>
      </c>
      <c r="I24" s="21">
        <f>IFERROR(('Data Sheet'!H26),0)</f>
        <v>4225</v>
      </c>
      <c r="J24" s="21">
        <f>IFERROR(('Data Sheet'!I26),0)</f>
        <v>4678</v>
      </c>
      <c r="K24" s="21">
        <f>IFERROR(('Data Sheet'!J26),0)</f>
        <v>4812</v>
      </c>
      <c r="L24" s="21">
        <f>IFERROR(('Data Sheet'!K26),0)</f>
        <v>4902</v>
      </c>
      <c r="M24" s="21">
        <f>IFERROR(SUM('Data Sheet'!H45:K45),0)</f>
        <v>4901</v>
      </c>
    </row>
    <row r="25" spans="2:14" outlineLevel="1" x14ac:dyDescent="0.35">
      <c r="B25" s="13" t="s">
        <v>69</v>
      </c>
      <c r="C25" s="14">
        <f>C24/C6</f>
        <v>2.4867122247532271E-2</v>
      </c>
      <c r="D25" s="14">
        <f t="shared" ref="D25:M25" si="8">D24/D6</f>
        <v>2.6417288222115084E-2</v>
      </c>
      <c r="E25" s="14">
        <f t="shared" si="8"/>
        <v>2.4324160870879952E-2</v>
      </c>
      <c r="F25" s="14">
        <f t="shared" si="8"/>
        <v>3.1864391845006661E-2</v>
      </c>
      <c r="G25" s="14">
        <f t="shared" si="8"/>
        <v>3.2516522016084085E-2</v>
      </c>
      <c r="H25" s="14">
        <f t="shared" si="8"/>
        <v>2.8575891352422292E-2</v>
      </c>
      <c r="I25" s="14">
        <f t="shared" si="8"/>
        <v>2.8787125171189708E-2</v>
      </c>
      <c r="J25" s="14">
        <f t="shared" si="8"/>
        <v>3.0441855925034164E-2</v>
      </c>
      <c r="K25" s="14">
        <f t="shared" si="8"/>
        <v>2.9523283637032948E-2</v>
      </c>
      <c r="L25" s="14">
        <f t="shared" si="8"/>
        <v>2.7439126784214944E-2</v>
      </c>
      <c r="M25" s="14">
        <f t="shared" si="8"/>
        <v>2.7433529247131262E-2</v>
      </c>
      <c r="N25" s="13"/>
    </row>
    <row r="26" spans="2:14" outlineLevel="1" x14ac:dyDescent="0.35"/>
    <row r="27" spans="2:14" outlineLevel="1" x14ac:dyDescent="0.35">
      <c r="B27" t="s">
        <v>71</v>
      </c>
      <c r="C27" s="21">
        <f>IFERROR(C18-SUM(C21,C24),0)</f>
        <v>16901</v>
      </c>
      <c r="D27" s="21">
        <f t="shared" ref="D27:M27" si="9">IFERROR(D18-SUM(D21,D24),0)</f>
        <v>16959</v>
      </c>
      <c r="E27" s="21">
        <f t="shared" si="9"/>
        <v>18159</v>
      </c>
      <c r="F27" s="21">
        <f t="shared" si="9"/>
        <v>19204</v>
      </c>
      <c r="G27" s="21">
        <f t="shared" si="9"/>
        <v>24427</v>
      </c>
      <c r="H27" s="21">
        <f t="shared" si="9"/>
        <v>27815</v>
      </c>
      <c r="I27" s="21">
        <f t="shared" si="9"/>
        <v>30621</v>
      </c>
      <c r="J27" s="21">
        <f t="shared" si="9"/>
        <v>31277</v>
      </c>
      <c r="K27" s="21">
        <f t="shared" si="9"/>
        <v>34008</v>
      </c>
      <c r="L27" s="21">
        <f t="shared" si="9"/>
        <v>36962</v>
      </c>
      <c r="M27" s="21">
        <f t="shared" si="9"/>
        <v>36962</v>
      </c>
    </row>
    <row r="28" spans="2:14" outlineLevel="1" x14ac:dyDescent="0.35">
      <c r="B28" s="13" t="s">
        <v>72</v>
      </c>
      <c r="C28" s="14">
        <f>C27/C6</f>
        <v>0.24678757081946148</v>
      </c>
      <c r="D28" s="14">
        <f t="shared" ref="D28:M28" si="10">D27/D6</f>
        <v>0.24047814866282863</v>
      </c>
      <c r="E28" s="14">
        <f t="shared" si="10"/>
        <v>0.2196431811309344</v>
      </c>
      <c r="F28" s="14">
        <f t="shared" si="10"/>
        <v>0.211518762872972</v>
      </c>
      <c r="G28" s="14">
        <f t="shared" si="10"/>
        <v>0.24312246197945697</v>
      </c>
      <c r="H28" s="14">
        <f t="shared" si="10"/>
        <v>0.2286646772058763</v>
      </c>
      <c r="I28" s="14">
        <f t="shared" si="10"/>
        <v>0.20863681890343197</v>
      </c>
      <c r="J28" s="14">
        <f t="shared" si="10"/>
        <v>0.20353354591006703</v>
      </c>
      <c r="K28" s="14">
        <f t="shared" si="10"/>
        <v>0.20865083747469171</v>
      </c>
      <c r="L28" s="14">
        <f t="shared" si="10"/>
        <v>0.20689616568709768</v>
      </c>
      <c r="M28" s="14">
        <f t="shared" si="10"/>
        <v>0.20689616568709768</v>
      </c>
    </row>
    <row r="29" spans="2:14" outlineLevel="1" x14ac:dyDescent="0.35"/>
    <row r="30" spans="2:14" outlineLevel="1" x14ac:dyDescent="0.35">
      <c r="B30" t="s">
        <v>73</v>
      </c>
      <c r="C30" s="21">
        <f>IFERROR('Data Sheet'!B29,0)</f>
        <v>5598</v>
      </c>
      <c r="D30" s="21">
        <f>IFERROR('Data Sheet'!C29,0)</f>
        <v>4241</v>
      </c>
      <c r="E30" s="21">
        <f>IFERROR('Data Sheet'!D29,0)</f>
        <v>5631</v>
      </c>
      <c r="F30" s="21">
        <f>IFERROR('Data Sheet'!E29,0)</f>
        <v>5368</v>
      </c>
      <c r="G30" s="21">
        <f>IFERROR('Data Sheet'!F29,0)</f>
        <v>7205</v>
      </c>
      <c r="H30" s="21">
        <f>IFERROR('Data Sheet'!G29,0)</f>
        <v>7964</v>
      </c>
      <c r="I30" s="21">
        <f>IFERROR('Data Sheet'!H29,0)</f>
        <v>9214</v>
      </c>
      <c r="J30" s="21">
        <f>IFERROR('Data Sheet'!I29,0)</f>
        <v>9740</v>
      </c>
      <c r="K30" s="21">
        <f>IFERROR('Data Sheet'!J29,0)</f>
        <v>10858</v>
      </c>
      <c r="L30" s="21">
        <f>IFERROR('Data Sheet'!K29,0)</f>
        <v>10521</v>
      </c>
      <c r="M30" s="21">
        <f>IFERROR(SUM('Data Sheet'!H48:K48),0)</f>
        <v>10521</v>
      </c>
    </row>
    <row r="31" spans="2:14" outlineLevel="1" x14ac:dyDescent="0.35">
      <c r="B31" s="13" t="s">
        <v>74</v>
      </c>
      <c r="C31" s="14">
        <f>C30/C27</f>
        <v>0.33122300455594345</v>
      </c>
      <c r="D31" s="14">
        <f>D30/D27</f>
        <v>0.25007370717613064</v>
      </c>
      <c r="E31" s="14">
        <f t="shared" ref="E31:M31" si="11">E30/E27</f>
        <v>0.31009416818106722</v>
      </c>
      <c r="F31" s="14">
        <f>F30/F27</f>
        <v>0.27952509893772132</v>
      </c>
      <c r="G31" s="14">
        <f t="shared" si="11"/>
        <v>0.29496049453473616</v>
      </c>
      <c r="H31" s="14">
        <f t="shared" si="11"/>
        <v>0.28632033075678592</v>
      </c>
      <c r="I31" s="14">
        <f t="shared" si="11"/>
        <v>0.30090460794879331</v>
      </c>
      <c r="J31" s="14">
        <f t="shared" si="11"/>
        <v>0.31141094094702176</v>
      </c>
      <c r="K31" s="14">
        <f t="shared" si="11"/>
        <v>0.31927781698423902</v>
      </c>
      <c r="L31" s="14">
        <f t="shared" si="11"/>
        <v>0.28464368811211516</v>
      </c>
      <c r="M31" s="14">
        <f t="shared" si="11"/>
        <v>0.28464368811211516</v>
      </c>
    </row>
    <row r="32" spans="2:14" outlineLevel="1" x14ac:dyDescent="0.35"/>
    <row r="33" spans="1:13" outlineLevel="1" x14ac:dyDescent="0.35">
      <c r="B33" t="s">
        <v>75</v>
      </c>
      <c r="C33" s="21">
        <f>IFERROR((C27-C30),0)</f>
        <v>11303</v>
      </c>
      <c r="D33" s="21">
        <f t="shared" ref="D33:M33" si="12">IFERROR((D27-D30),0)</f>
        <v>12718</v>
      </c>
      <c r="E33" s="21">
        <f t="shared" si="12"/>
        <v>12528</v>
      </c>
      <c r="F33" s="21">
        <f t="shared" si="12"/>
        <v>13836</v>
      </c>
      <c r="G33" s="21">
        <f t="shared" si="12"/>
        <v>17222</v>
      </c>
      <c r="H33" s="21">
        <f t="shared" si="12"/>
        <v>19851</v>
      </c>
      <c r="I33" s="21">
        <f t="shared" si="12"/>
        <v>21407</v>
      </c>
      <c r="J33" s="21">
        <f t="shared" si="12"/>
        <v>21537</v>
      </c>
      <c r="K33" s="21">
        <f t="shared" si="12"/>
        <v>23150</v>
      </c>
      <c r="L33" s="21">
        <f t="shared" si="12"/>
        <v>26441</v>
      </c>
      <c r="M33" s="21">
        <f t="shared" si="12"/>
        <v>26441</v>
      </c>
    </row>
    <row r="34" spans="1:13" outlineLevel="1" x14ac:dyDescent="0.35">
      <c r="B34" s="13" t="s">
        <v>76</v>
      </c>
      <c r="C34" s="14">
        <f>C33/C6</f>
        <v>0.16504585012557677</v>
      </c>
      <c r="D34" s="14">
        <f t="shared" ref="D34:M34" si="13">D33/D6</f>
        <v>0.18034088653186239</v>
      </c>
      <c r="E34" s="14">
        <f t="shared" si="13"/>
        <v>0.1515331115814938</v>
      </c>
      <c r="F34" s="14">
        <f t="shared" si="13"/>
        <v>0.15239395975372008</v>
      </c>
      <c r="G34" s="14">
        <f t="shared" si="13"/>
        <v>0.17141094036149376</v>
      </c>
      <c r="H34" s="14">
        <f t="shared" si="13"/>
        <v>0.16319333119589613</v>
      </c>
      <c r="I34" s="14">
        <f t="shared" si="13"/>
        <v>0.14585703870761138</v>
      </c>
      <c r="J34" s="14">
        <f t="shared" si="13"/>
        <v>0.14015097286392919</v>
      </c>
      <c r="K34" s="14">
        <f t="shared" si="13"/>
        <v>0.14203325357383889</v>
      </c>
      <c r="L34" s="14">
        <f t="shared" si="13"/>
        <v>0.14800447802966696</v>
      </c>
      <c r="M34" s="14">
        <f t="shared" si="13"/>
        <v>0.14800447802966696</v>
      </c>
    </row>
    <row r="35" spans="1:13" outlineLevel="1" x14ac:dyDescent="0.35"/>
    <row r="36" spans="1:13" outlineLevel="1" x14ac:dyDescent="0.35">
      <c r="B36" t="s">
        <v>77</v>
      </c>
      <c r="C36" s="21">
        <f>IFERROR('Data Sheet'!B93,0)</f>
        <v>459.39</v>
      </c>
      <c r="D36" s="21">
        <f>IFERROR('Data Sheet'!C93,0)</f>
        <v>436.82</v>
      </c>
      <c r="E36" s="21">
        <f>IFERROR('Data Sheet'!D93,0)</f>
        <v>436.89</v>
      </c>
      <c r="F36" s="21">
        <f>IFERROR('Data Sheet'!E93,0)</f>
        <v>425.9</v>
      </c>
      <c r="G36" s="21">
        <f>IFERROR('Data Sheet'!F93,0)</f>
        <v>426.07</v>
      </c>
      <c r="H36" s="21">
        <f>IFERROR('Data Sheet'!G93,0)</f>
        <v>420.67</v>
      </c>
      <c r="I36" s="21">
        <f>IFERROR('Data Sheet'!H93,0)</f>
        <v>414.86</v>
      </c>
      <c r="J36" s="21">
        <f>IFERROR('Data Sheet'!I93,0)</f>
        <v>415.09</v>
      </c>
      <c r="K36" s="21">
        <f>IFERROR('Data Sheet'!J93,0)</f>
        <v>415.33</v>
      </c>
      <c r="L36" s="21">
        <f>IFERROR('Data Sheet'!K93,0)</f>
        <v>405.56</v>
      </c>
      <c r="M36" s="22">
        <f>L36</f>
        <v>405.56</v>
      </c>
    </row>
    <row r="37" spans="1:13" outlineLevel="1" x14ac:dyDescent="0.35"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3" outlineLevel="1" x14ac:dyDescent="0.35">
      <c r="B38" t="s">
        <v>78</v>
      </c>
      <c r="C38" s="21">
        <f>IFERROR(C33/C36,0)</f>
        <v>24.604366660136268</v>
      </c>
      <c r="D38" s="21">
        <f t="shared" ref="D38:M38" si="14">IFERROR(D33/D36,0)</f>
        <v>29.114967263403692</v>
      </c>
      <c r="E38" s="21">
        <f t="shared" si="14"/>
        <v>28.6754102863421</v>
      </c>
      <c r="F38" s="21">
        <f t="shared" si="14"/>
        <v>32.486499178210849</v>
      </c>
      <c r="G38" s="21">
        <f t="shared" si="14"/>
        <v>40.420588166263762</v>
      </c>
      <c r="H38" s="21">
        <f t="shared" si="14"/>
        <v>47.189008011030019</v>
      </c>
      <c r="I38" s="21">
        <f t="shared" si="14"/>
        <v>51.600539941184977</v>
      </c>
      <c r="J38" s="21">
        <f t="shared" si="14"/>
        <v>51.885133344575877</v>
      </c>
      <c r="K38" s="21">
        <f t="shared" si="14"/>
        <v>55.738810102809815</v>
      </c>
      <c r="L38" s="21">
        <f t="shared" si="14"/>
        <v>65.196271821678664</v>
      </c>
      <c r="M38" s="22">
        <f t="shared" si="14"/>
        <v>65.196271821678664</v>
      </c>
    </row>
    <row r="39" spans="1:13" outlineLevel="1" x14ac:dyDescent="0.35">
      <c r="B39" s="13" t="s">
        <v>80</v>
      </c>
      <c r="C39" s="14"/>
      <c r="D39" s="14">
        <f>IFERROR((D38/C38-1),0)</f>
        <v>0.1833252066827411</v>
      </c>
      <c r="E39" s="14">
        <f t="shared" ref="E39:M39" si="15">IFERROR((E38/D38-1),0)</f>
        <v>-1.5097285636109792E-2</v>
      </c>
      <c r="F39" s="14">
        <f t="shared" si="15"/>
        <v>0.13290442416734827</v>
      </c>
      <c r="G39" s="14">
        <f t="shared" si="15"/>
        <v>0.24422726944288353</v>
      </c>
      <c r="H39" s="14">
        <f t="shared" si="15"/>
        <v>0.16744981089650213</v>
      </c>
      <c r="I39" s="14">
        <f t="shared" si="15"/>
        <v>9.3486430762091954E-2</v>
      </c>
      <c r="J39" s="14">
        <f t="shared" si="15"/>
        <v>5.5153183225462588E-3</v>
      </c>
      <c r="K39" s="14">
        <f t="shared" si="15"/>
        <v>7.4273236085588668E-2</v>
      </c>
      <c r="L39" s="14">
        <f t="shared" si="15"/>
        <v>0.1696746253001209</v>
      </c>
      <c r="M39" s="14">
        <f t="shared" si="15"/>
        <v>0</v>
      </c>
    </row>
    <row r="40" spans="1:13" outlineLevel="1" x14ac:dyDescent="0.35"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/>
    </row>
    <row r="41" spans="1:13" outlineLevel="1" x14ac:dyDescent="0.35">
      <c r="B41" t="s">
        <v>79</v>
      </c>
      <c r="C41" s="21">
        <f>IFERROR(('Data Sheet'!B31/C36),0)</f>
        <v>12.824832930625396</v>
      </c>
      <c r="D41" s="21">
        <f>IFERROR(('Data Sheet'!C31/D36),0)</f>
        <v>21.669337484547412</v>
      </c>
      <c r="E41" s="21">
        <f>IFERROR(('Data Sheet'!D31/E36),0)</f>
        <v>21.109432580283368</v>
      </c>
      <c r="F41" s="21">
        <f>IFERROR(('Data Sheet'!E31/F36),0)</f>
        <v>17.438365813571263</v>
      </c>
      <c r="G41" s="21">
        <f>IFERROR(('Data Sheet'!F31/G36),0)</f>
        <v>26.919520266622857</v>
      </c>
      <c r="H41" s="21">
        <f>IFERROR(('Data Sheet'!G31/H36),0)</f>
        <v>30.921149594694178</v>
      </c>
      <c r="I41" s="21">
        <f>IFERROR(('Data Sheet'!H31/I36),0)</f>
        <v>33.913127320059779</v>
      </c>
      <c r="J41" s="21">
        <f>IFERROR(('Data Sheet'!I31/J36),0)</f>
        <v>45.901370787058234</v>
      </c>
      <c r="K41" s="21">
        <f>IFERROR(('Data Sheet'!J31/K36),0)</f>
        <v>42.924421544314157</v>
      </c>
      <c r="L41" s="21">
        <f>IFERROR(('Data Sheet'!K31/L36),0)</f>
        <v>47.910050300818625</v>
      </c>
      <c r="M41" s="22">
        <f>IFERROR(('Data Sheet'!L31/M36),0)</f>
        <v>0</v>
      </c>
    </row>
    <row r="42" spans="1:13" outlineLevel="1" x14ac:dyDescent="0.35">
      <c r="B42" s="13" t="s">
        <v>81</v>
      </c>
      <c r="C42" s="14">
        <f>IFERROR((C41/C38),0)</f>
        <v>0.52124214810227376</v>
      </c>
      <c r="D42" s="14">
        <f t="shared" ref="D42:M42" si="16">IFERROR((D41/D38),0)</f>
        <v>0.74426796666142481</v>
      </c>
      <c r="E42" s="14">
        <f t="shared" si="16"/>
        <v>0.73615102171136659</v>
      </c>
      <c r="F42" s="14">
        <f t="shared" si="16"/>
        <v>0.53678808904307607</v>
      </c>
      <c r="G42" s="14">
        <f t="shared" si="16"/>
        <v>0.66598536755312976</v>
      </c>
      <c r="H42" s="14">
        <f t="shared" si="16"/>
        <v>0.6552616996624856</v>
      </c>
      <c r="I42" s="14">
        <f t="shared" si="16"/>
        <v>0.65722427243425052</v>
      </c>
      <c r="J42" s="14">
        <f t="shared" si="16"/>
        <v>0.8846728885174352</v>
      </c>
      <c r="K42" s="14">
        <f t="shared" si="16"/>
        <v>0.77009935205183577</v>
      </c>
      <c r="L42" s="14">
        <f t="shared" si="16"/>
        <v>0.73485874210506419</v>
      </c>
      <c r="M42" s="14">
        <f t="shared" si="16"/>
        <v>0</v>
      </c>
    </row>
    <row r="43" spans="1:13" outlineLevel="1" x14ac:dyDescent="0.35"/>
    <row r="44" spans="1:13" outlineLevel="1" x14ac:dyDescent="0.35">
      <c r="B44" t="s">
        <v>82</v>
      </c>
      <c r="C44" s="14">
        <f>IFERROR(IF(C38&gt;C41,1-C42,0),0)</f>
        <v>0.47875785189772624</v>
      </c>
      <c r="D44" s="14">
        <f t="shared" ref="D44:M44" si="17">IFERROR(IF(D38&gt;D41,1-D42,0),0)</f>
        <v>0.25573203333857519</v>
      </c>
      <c r="E44" s="14">
        <f t="shared" si="17"/>
        <v>0.26384897828863341</v>
      </c>
      <c r="F44" s="14">
        <f t="shared" si="17"/>
        <v>0.46321191095692393</v>
      </c>
      <c r="G44" s="14">
        <f t="shared" si="17"/>
        <v>0.33401463244687024</v>
      </c>
      <c r="H44" s="14">
        <f t="shared" si="17"/>
        <v>0.3447383003375144</v>
      </c>
      <c r="I44" s="14">
        <f t="shared" si="17"/>
        <v>0.34277572756574948</v>
      </c>
      <c r="J44" s="14">
        <f t="shared" si="17"/>
        <v>0.1153271114825648</v>
      </c>
      <c r="K44" s="14">
        <f t="shared" si="17"/>
        <v>0.22990064794816423</v>
      </c>
      <c r="L44" s="14">
        <f t="shared" si="17"/>
        <v>0.26514125789493581</v>
      </c>
      <c r="M44" s="14">
        <f t="shared" si="17"/>
        <v>1</v>
      </c>
    </row>
    <row r="46" spans="1:13" x14ac:dyDescent="0.35">
      <c r="A46" t="s">
        <v>56</v>
      </c>
      <c r="B46" s="15" t="s">
        <v>83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</row>
    <row r="47" spans="1:13" outlineLevel="1" x14ac:dyDescent="0.35">
      <c r="B47" t="s">
        <v>10</v>
      </c>
      <c r="C47" s="21">
        <f>IFERROR('Data Sheet'!B57,0)</f>
        <v>1144</v>
      </c>
      <c r="D47" s="21">
        <f>IFERROR('Data Sheet'!C57,0)</f>
        <v>1088</v>
      </c>
      <c r="E47" s="21">
        <f>IFERROR('Data Sheet'!D57,0)</f>
        <v>2170</v>
      </c>
      <c r="F47" s="21">
        <f>IFERROR('Data Sheet'!E57,0)</f>
        <v>2122</v>
      </c>
      <c r="G47" s="21">
        <f>IFERROR('Data Sheet'!F57,0)</f>
        <v>2124</v>
      </c>
      <c r="H47" s="21">
        <f>IFERROR('Data Sheet'!G57,0)</f>
        <v>2098</v>
      </c>
      <c r="I47" s="21">
        <f>IFERROR('Data Sheet'!H57,0)</f>
        <v>2069</v>
      </c>
      <c r="J47" s="21">
        <f>IFERROR('Data Sheet'!I57,0)</f>
        <v>2071</v>
      </c>
      <c r="K47" s="21">
        <f>IFERROR('Data Sheet'!J57,0)</f>
        <v>2073</v>
      </c>
      <c r="L47" s="21">
        <f>IFERROR('Data Sheet'!K57,0)</f>
        <v>2024</v>
      </c>
    </row>
    <row r="48" spans="1:13" outlineLevel="1" x14ac:dyDescent="0.35">
      <c r="B48" t="s">
        <v>11</v>
      </c>
      <c r="C48" s="21">
        <f>IFERROR('Data Sheet'!B58,0)</f>
        <v>67838</v>
      </c>
      <c r="D48" s="21">
        <f>IFERROR('Data Sheet'!C58,0)</f>
        <v>63835</v>
      </c>
      <c r="E48" s="21">
        <f>IFERROR('Data Sheet'!D58,0)</f>
        <v>62778</v>
      </c>
      <c r="F48" s="21">
        <f>IFERROR('Data Sheet'!E58,0)</f>
        <v>63328</v>
      </c>
      <c r="G48" s="21">
        <f>IFERROR('Data Sheet'!F58,0)</f>
        <v>74227</v>
      </c>
      <c r="H48" s="21">
        <f>IFERROR('Data Sheet'!G58,0)</f>
        <v>73252</v>
      </c>
      <c r="I48" s="21">
        <f>IFERROR('Data Sheet'!H58,0)</f>
        <v>73338</v>
      </c>
      <c r="J48" s="21">
        <f>IFERROR('Data Sheet'!I58,0)</f>
        <v>86045</v>
      </c>
      <c r="K48" s="21">
        <f>IFERROR('Data Sheet'!J58,0)</f>
        <v>93745</v>
      </c>
      <c r="L48" s="21">
        <f>IFERROR('Data Sheet'!K58,0)</f>
        <v>90828</v>
      </c>
    </row>
    <row r="49" spans="2:12" outlineLevel="1" x14ac:dyDescent="0.35">
      <c r="B49" t="s">
        <v>35</v>
      </c>
      <c r="C49" s="21">
        <f>IFERROR('Data Sheet'!B59,0)</f>
        <v>0</v>
      </c>
      <c r="D49" s="21">
        <f>IFERROR('Data Sheet'!C59,0)</f>
        <v>0</v>
      </c>
      <c r="E49" s="21">
        <f>IFERROR('Data Sheet'!D59,0)</f>
        <v>0</v>
      </c>
      <c r="F49" s="21">
        <f>IFERROR('Data Sheet'!E59,0)</f>
        <v>4633</v>
      </c>
      <c r="G49" s="21">
        <f>IFERROR('Data Sheet'!F59,0)</f>
        <v>5325</v>
      </c>
      <c r="H49" s="21">
        <f>IFERROR('Data Sheet'!G59,0)</f>
        <v>5474</v>
      </c>
      <c r="I49" s="21">
        <f>IFERROR('Data Sheet'!H59,0)</f>
        <v>8299</v>
      </c>
      <c r="J49" s="21">
        <f>IFERROR('Data Sheet'!I59,0)</f>
        <v>8359</v>
      </c>
      <c r="K49" s="21">
        <f>IFERROR('Data Sheet'!J59,0)</f>
        <v>8227</v>
      </c>
      <c r="L49" s="21">
        <f>IFERROR('Data Sheet'!K59,0)</f>
        <v>9176</v>
      </c>
    </row>
    <row r="50" spans="2:12" outlineLevel="1" x14ac:dyDescent="0.35">
      <c r="B50" t="s">
        <v>36</v>
      </c>
      <c r="C50" s="21">
        <f>IFERROR('Data Sheet'!B60,0)</f>
        <v>14166</v>
      </c>
      <c r="D50" s="21">
        <f>IFERROR('Data Sheet'!C60,0)</f>
        <v>14426</v>
      </c>
      <c r="E50" s="21">
        <f>IFERROR('Data Sheet'!D60,0)</f>
        <v>19118</v>
      </c>
      <c r="F50" s="21">
        <f>IFERROR('Data Sheet'!E60,0)</f>
        <v>21717</v>
      </c>
      <c r="G50" s="21">
        <f>IFERROR('Data Sheet'!F60,0)</f>
        <v>25835</v>
      </c>
      <c r="H50" s="21">
        <f>IFERROR('Data Sheet'!G60,0)</f>
        <v>35905</v>
      </c>
      <c r="I50" s="21">
        <f>IFERROR('Data Sheet'!H60,0)</f>
        <v>40890</v>
      </c>
      <c r="J50" s="21">
        <f>IFERROR('Data Sheet'!I60,0)</f>
        <v>39545</v>
      </c>
      <c r="K50" s="21">
        <f>IFERROR('Data Sheet'!J60,0)</f>
        <v>43750</v>
      </c>
      <c r="L50" s="21">
        <f>IFERROR('Data Sheet'!K60,0)</f>
        <v>52260</v>
      </c>
    </row>
    <row r="51" spans="2:12" s="2" customFormat="1" outlineLevel="1" x14ac:dyDescent="0.35">
      <c r="B51" s="2" t="s">
        <v>84</v>
      </c>
      <c r="C51" s="23">
        <f>IFERROR('Data Sheet'!B61,0)</f>
        <v>83148</v>
      </c>
      <c r="D51" s="23">
        <f>IFERROR('Data Sheet'!C61,0)</f>
        <v>79349</v>
      </c>
      <c r="E51" s="23">
        <f>IFERROR('Data Sheet'!D61,0)</f>
        <v>84066</v>
      </c>
      <c r="F51" s="23">
        <f>IFERROR('Data Sheet'!E61,0)</f>
        <v>91800</v>
      </c>
      <c r="G51" s="23">
        <f>IFERROR('Data Sheet'!F61,0)</f>
        <v>107511</v>
      </c>
      <c r="H51" s="23">
        <f>IFERROR('Data Sheet'!G61,0)</f>
        <v>116729</v>
      </c>
      <c r="I51" s="23">
        <f>IFERROR('Data Sheet'!H61,0)</f>
        <v>124596</v>
      </c>
      <c r="J51" s="23">
        <f>IFERROR('Data Sheet'!I61,0)</f>
        <v>136020</v>
      </c>
      <c r="K51" s="23">
        <f>IFERROR('Data Sheet'!J61,0)</f>
        <v>147795</v>
      </c>
      <c r="L51" s="23">
        <f>IFERROR('Data Sheet'!K61,0)</f>
        <v>154288</v>
      </c>
    </row>
    <row r="52" spans="2:12" outlineLevel="1" x14ac:dyDescent="0.35"/>
    <row r="53" spans="2:12" outlineLevel="1" x14ac:dyDescent="0.35">
      <c r="B53" t="s">
        <v>85</v>
      </c>
      <c r="C53" s="21">
        <f>IFERROR('Data Sheet'!B62,0)</f>
        <v>14179</v>
      </c>
      <c r="D53" s="21">
        <f>IFERROR('Data Sheet'!C62,0)</f>
        <v>12574</v>
      </c>
      <c r="E53" s="21">
        <f>IFERROR('Data Sheet'!D62,0)</f>
        <v>15710</v>
      </c>
      <c r="F53" s="21">
        <f>IFERROR('Data Sheet'!E62,0)</f>
        <v>23789</v>
      </c>
      <c r="G53" s="21">
        <f>IFERROR('Data Sheet'!F62,0)</f>
        <v>25505</v>
      </c>
      <c r="H53" s="21">
        <f>IFERROR('Data Sheet'!G62,0)</f>
        <v>25800</v>
      </c>
      <c r="I53" s="21">
        <f>IFERROR('Data Sheet'!H62,0)</f>
        <v>29225</v>
      </c>
      <c r="J53" s="21">
        <f>IFERROR('Data Sheet'!I62,0)</f>
        <v>27622</v>
      </c>
      <c r="K53" s="21">
        <f>IFERROR('Data Sheet'!J62,0)</f>
        <v>30961</v>
      </c>
      <c r="L53" s="21">
        <f>IFERROR('Data Sheet'!K62,0)</f>
        <v>33770</v>
      </c>
    </row>
    <row r="54" spans="2:12" outlineLevel="1" x14ac:dyDescent="0.35">
      <c r="B54" t="s">
        <v>14</v>
      </c>
      <c r="C54" s="21">
        <f>IFERROR('Data Sheet'!B63,0)</f>
        <v>1365</v>
      </c>
      <c r="D54" s="21">
        <f>IFERROR('Data Sheet'!C63,0)</f>
        <v>1606</v>
      </c>
      <c r="E54" s="21">
        <f>IFERROR('Data Sheet'!D63,0)</f>
        <v>1388</v>
      </c>
      <c r="F54" s="21">
        <f>IFERROR('Data Sheet'!E63,0)</f>
        <v>954</v>
      </c>
      <c r="G54" s="21">
        <f>IFERROR('Data Sheet'!F63,0)</f>
        <v>922</v>
      </c>
      <c r="H54" s="21">
        <f>IFERROR('Data Sheet'!G63,0)</f>
        <v>416</v>
      </c>
      <c r="I54" s="21">
        <f>IFERROR('Data Sheet'!H63,0)</f>
        <v>288</v>
      </c>
      <c r="J54" s="21">
        <f>IFERROR('Data Sheet'!I63,0)</f>
        <v>293</v>
      </c>
      <c r="K54" s="21">
        <f>IFERROR('Data Sheet'!J63,0)</f>
        <v>814</v>
      </c>
      <c r="L54" s="21">
        <f>IFERROR('Data Sheet'!K63,0)</f>
        <v>526</v>
      </c>
    </row>
    <row r="55" spans="2:12" outlineLevel="1" x14ac:dyDescent="0.35">
      <c r="B55" t="s">
        <v>15</v>
      </c>
      <c r="C55" s="21">
        <f>IFERROR('Data Sheet'!B64,0)</f>
        <v>16423</v>
      </c>
      <c r="D55" s="21">
        <f>IFERROR('Data Sheet'!C64,0)</f>
        <v>12163</v>
      </c>
      <c r="E55" s="21">
        <f>IFERROR('Data Sheet'!D64,0)</f>
        <v>11261</v>
      </c>
      <c r="F55" s="21">
        <f>IFERROR('Data Sheet'!E64,0)</f>
        <v>8792</v>
      </c>
      <c r="G55" s="21">
        <f>IFERROR('Data Sheet'!F64,0)</f>
        <v>14205</v>
      </c>
      <c r="H55" s="21">
        <f>IFERROR('Data Sheet'!G64,0)</f>
        <v>20324</v>
      </c>
      <c r="I55" s="21">
        <f>IFERROR('Data Sheet'!H64,0)</f>
        <v>19478</v>
      </c>
      <c r="J55" s="21">
        <f>IFERROR('Data Sheet'!I64,0)</f>
        <v>24623</v>
      </c>
      <c r="K55" s="21">
        <f>IFERROR('Data Sheet'!J64,0)</f>
        <v>23541</v>
      </c>
      <c r="L55" s="21">
        <f>IFERROR('Data Sheet'!K64,0)</f>
        <v>21880</v>
      </c>
    </row>
    <row r="56" spans="2:12" outlineLevel="1" x14ac:dyDescent="0.35">
      <c r="B56" t="s">
        <v>37</v>
      </c>
      <c r="C56" s="21">
        <f>IFERROR('Data Sheet'!B65-SUM('Data Sheet'!B67:B69),0)</f>
        <v>16234</v>
      </c>
      <c r="D56" s="21">
        <f>IFERROR('Data Sheet'!C65-SUM('Data Sheet'!C67:C69),0)</f>
        <v>20046</v>
      </c>
      <c r="E56" s="21">
        <f>IFERROR('Data Sheet'!D65-SUM('Data Sheet'!D67:D69),0)</f>
        <v>21312</v>
      </c>
      <c r="F56" s="21">
        <f>IFERROR('Data Sheet'!E65-SUM('Data Sheet'!E67:E69),0)</f>
        <v>21129</v>
      </c>
      <c r="G56" s="21">
        <f>IFERROR('Data Sheet'!F65-SUM('Data Sheet'!F67:F69),0)</f>
        <v>22871</v>
      </c>
      <c r="H56" s="21">
        <f>IFERROR('Data Sheet'!G65-SUM('Data Sheet'!G67:G69),0)</f>
        <v>30019</v>
      </c>
      <c r="I56" s="21">
        <f>IFERROR('Data Sheet'!H65-SUM('Data Sheet'!H67:H69),0)</f>
        <v>38008</v>
      </c>
      <c r="J56" s="21">
        <f>IFERROR('Data Sheet'!I65-SUM('Data Sheet'!I67:I69),0)</f>
        <v>38503</v>
      </c>
      <c r="K56" s="21">
        <f>IFERROR('Data Sheet'!J65-SUM('Data Sheet'!J67:J69),0)</f>
        <v>36866</v>
      </c>
      <c r="L56" s="21">
        <f>IFERROR('Data Sheet'!K65-SUM('Data Sheet'!K67:K69),0)</f>
        <v>40677</v>
      </c>
    </row>
    <row r="57" spans="2:12" s="2" customFormat="1" outlineLevel="1" x14ac:dyDescent="0.35">
      <c r="B57" s="2" t="s">
        <v>86</v>
      </c>
      <c r="C57" s="23">
        <f>IFERROR(SUM(C53:C56),0)</f>
        <v>48201</v>
      </c>
      <c r="D57" s="23">
        <f t="shared" ref="D57:L57" si="18">IFERROR(SUM(D53:D56),0)</f>
        <v>46389</v>
      </c>
      <c r="E57" s="23">
        <f t="shared" si="18"/>
        <v>49671</v>
      </c>
      <c r="F57" s="23">
        <f t="shared" si="18"/>
        <v>54664</v>
      </c>
      <c r="G57" s="23">
        <f t="shared" si="18"/>
        <v>63503</v>
      </c>
      <c r="H57" s="23">
        <f t="shared" si="18"/>
        <v>76559</v>
      </c>
      <c r="I57" s="23">
        <f t="shared" si="18"/>
        <v>86999</v>
      </c>
      <c r="J57" s="23">
        <f t="shared" si="18"/>
        <v>91041</v>
      </c>
      <c r="K57" s="23">
        <f t="shared" si="18"/>
        <v>92182</v>
      </c>
      <c r="L57" s="23">
        <f t="shared" si="18"/>
        <v>96853</v>
      </c>
    </row>
    <row r="58" spans="2:12" outlineLevel="1" x14ac:dyDescent="0.35"/>
    <row r="59" spans="2:12" outlineLevel="1" x14ac:dyDescent="0.35">
      <c r="B59" t="s">
        <v>42</v>
      </c>
      <c r="C59" s="21">
        <f>IFERROR('Data Sheet'!B67,0)</f>
        <v>12322</v>
      </c>
      <c r="D59" s="21">
        <f>IFERROR('Data Sheet'!C67,0)</f>
        <v>13142</v>
      </c>
      <c r="E59" s="21">
        <f>IFERROR('Data Sheet'!D67,0)</f>
        <v>14827</v>
      </c>
      <c r="F59" s="21">
        <f>IFERROR('Data Sheet'!E67,0)</f>
        <v>18487</v>
      </c>
      <c r="G59" s="21">
        <f>IFERROR('Data Sheet'!F67,0)</f>
        <v>19294</v>
      </c>
      <c r="H59" s="21">
        <f>IFERROR('Data Sheet'!G67,0)</f>
        <v>22698</v>
      </c>
      <c r="I59" s="21">
        <f>IFERROR('Data Sheet'!H67,0)</f>
        <v>25424</v>
      </c>
      <c r="J59" s="21">
        <f>IFERROR('Data Sheet'!I67,0)</f>
        <v>30193</v>
      </c>
      <c r="K59" s="21">
        <f>IFERROR('Data Sheet'!J67,0)</f>
        <v>31158</v>
      </c>
      <c r="L59" s="21">
        <f>IFERROR('Data Sheet'!K67,0)</f>
        <v>35234</v>
      </c>
    </row>
    <row r="60" spans="2:12" outlineLevel="1" x14ac:dyDescent="0.35">
      <c r="B60" t="s">
        <v>29</v>
      </c>
      <c r="C60" s="21">
        <f>IFERROR('Data Sheet'!B68,0)</f>
        <v>0</v>
      </c>
      <c r="D60" s="21">
        <f>IFERROR('Data Sheet'!C68,0)</f>
        <v>0</v>
      </c>
      <c r="E60" s="21">
        <f>IFERROR('Data Sheet'!D68,0)</f>
        <v>0</v>
      </c>
      <c r="F60" s="21">
        <f>IFERROR('Data Sheet'!E68,0)</f>
        <v>0</v>
      </c>
      <c r="G60" s="21">
        <f>IFERROR('Data Sheet'!F68,0)</f>
        <v>0</v>
      </c>
      <c r="H60" s="21">
        <f>IFERROR('Data Sheet'!G68,0)</f>
        <v>0</v>
      </c>
      <c r="I60" s="21">
        <f>IFERROR('Data Sheet'!H68,0)</f>
        <v>0</v>
      </c>
      <c r="J60" s="21">
        <f>IFERROR('Data Sheet'!I68,0)</f>
        <v>0</v>
      </c>
      <c r="K60" s="21">
        <f>IFERROR('Data Sheet'!J68,0)</f>
        <v>0</v>
      </c>
      <c r="L60" s="21">
        <f>IFERROR('Data Sheet'!K68,0)</f>
        <v>0</v>
      </c>
    </row>
    <row r="61" spans="2:12" outlineLevel="1" x14ac:dyDescent="0.35">
      <c r="B61" t="s">
        <v>51</v>
      </c>
      <c r="C61" s="21">
        <f>IFERROR('Data Sheet'!B69,0)</f>
        <v>22625</v>
      </c>
      <c r="D61" s="21">
        <f>IFERROR('Data Sheet'!C69,0)</f>
        <v>19818</v>
      </c>
      <c r="E61" s="21">
        <f>IFERROR('Data Sheet'!D69,0)</f>
        <v>19568</v>
      </c>
      <c r="F61" s="21">
        <f>IFERROR('Data Sheet'!E69,0)</f>
        <v>18649</v>
      </c>
      <c r="G61" s="21">
        <f>IFERROR('Data Sheet'!F69,0)</f>
        <v>24714</v>
      </c>
      <c r="H61" s="21">
        <f>IFERROR('Data Sheet'!G69,0)</f>
        <v>17472</v>
      </c>
      <c r="I61" s="21">
        <f>IFERROR('Data Sheet'!H69,0)</f>
        <v>12173</v>
      </c>
      <c r="J61" s="21">
        <f>IFERROR('Data Sheet'!I69,0)</f>
        <v>14786</v>
      </c>
      <c r="K61" s="21">
        <f>IFERROR('Data Sheet'!J69,0)</f>
        <v>24455</v>
      </c>
      <c r="L61" s="21">
        <f>IFERROR('Data Sheet'!K69,0)</f>
        <v>22201</v>
      </c>
    </row>
    <row r="62" spans="2:12" outlineLevel="1" x14ac:dyDescent="0.35">
      <c r="B62" s="2" t="s">
        <v>87</v>
      </c>
      <c r="C62" s="23">
        <f>IFERROR(SUM(C59:C61),0)</f>
        <v>34947</v>
      </c>
      <c r="D62" s="23">
        <f t="shared" ref="D62:L62" si="19">IFERROR(SUM(D59:D61),0)</f>
        <v>32960</v>
      </c>
      <c r="E62" s="23">
        <f t="shared" si="19"/>
        <v>34395</v>
      </c>
      <c r="F62" s="23">
        <f t="shared" si="19"/>
        <v>37136</v>
      </c>
      <c r="G62" s="23">
        <f t="shared" si="19"/>
        <v>44008</v>
      </c>
      <c r="H62" s="23">
        <f t="shared" si="19"/>
        <v>40170</v>
      </c>
      <c r="I62" s="23">
        <f t="shared" si="19"/>
        <v>37597</v>
      </c>
      <c r="J62" s="23">
        <f t="shared" si="19"/>
        <v>44979</v>
      </c>
      <c r="K62" s="23">
        <f t="shared" si="19"/>
        <v>55613</v>
      </c>
      <c r="L62" s="23">
        <f t="shared" si="19"/>
        <v>57435</v>
      </c>
    </row>
    <row r="63" spans="2:12" outlineLevel="1" x14ac:dyDescent="0.35"/>
    <row r="64" spans="2:12" s="2" customFormat="1" outlineLevel="1" x14ac:dyDescent="0.35">
      <c r="B64" s="2" t="s">
        <v>88</v>
      </c>
      <c r="C64" s="23">
        <f>IFERROR((C62+C57),0)</f>
        <v>83148</v>
      </c>
      <c r="D64" s="23">
        <f t="shared" ref="D64:L64" si="20">IFERROR((D62+D57),0)</f>
        <v>79349</v>
      </c>
      <c r="E64" s="23">
        <f t="shared" si="20"/>
        <v>84066</v>
      </c>
      <c r="F64" s="23">
        <f t="shared" si="20"/>
        <v>91800</v>
      </c>
      <c r="G64" s="23">
        <f t="shared" si="20"/>
        <v>107511</v>
      </c>
      <c r="H64" s="23">
        <f t="shared" si="20"/>
        <v>116729</v>
      </c>
      <c r="I64" s="23">
        <f t="shared" si="20"/>
        <v>124596</v>
      </c>
      <c r="J64" s="23">
        <f t="shared" si="20"/>
        <v>136020</v>
      </c>
      <c r="K64" s="23">
        <f t="shared" si="20"/>
        <v>147795</v>
      </c>
      <c r="L64" s="23">
        <f t="shared" si="20"/>
        <v>154288</v>
      </c>
    </row>
    <row r="65" spans="1:13" outlineLevel="1" x14ac:dyDescent="0.35"/>
    <row r="66" spans="1:13" outlineLevel="1" x14ac:dyDescent="0.35">
      <c r="B66" s="2" t="s">
        <v>89</v>
      </c>
      <c r="C66" t="b">
        <f>C64=C51</f>
        <v>1</v>
      </c>
      <c r="D66" t="b">
        <f t="shared" ref="D66:L66" si="21">D64=D51</f>
        <v>1</v>
      </c>
      <c r="E66" t="b">
        <f t="shared" si="21"/>
        <v>1</v>
      </c>
      <c r="F66" t="b">
        <f t="shared" si="21"/>
        <v>1</v>
      </c>
      <c r="G66" t="b">
        <f t="shared" si="21"/>
        <v>1</v>
      </c>
      <c r="H66" t="b">
        <f t="shared" si="21"/>
        <v>1</v>
      </c>
      <c r="I66" t="b">
        <f t="shared" si="21"/>
        <v>1</v>
      </c>
      <c r="J66" t="b">
        <f t="shared" si="21"/>
        <v>1</v>
      </c>
      <c r="K66" t="b">
        <f t="shared" si="21"/>
        <v>1</v>
      </c>
      <c r="L66" t="b">
        <f t="shared" si="21"/>
        <v>1</v>
      </c>
    </row>
    <row r="68" spans="1:13" x14ac:dyDescent="0.35">
      <c r="A68" t="s">
        <v>56</v>
      </c>
      <c r="B68" s="15" t="s">
        <v>119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spans="1:13" outlineLevel="1" x14ac:dyDescent="0.35">
      <c r="B69" s="2" t="s">
        <v>120</v>
      </c>
    </row>
    <row r="70" spans="1:13" outlineLevel="2" x14ac:dyDescent="0.35">
      <c r="B70" t="s">
        <v>90</v>
      </c>
      <c r="C70" s="21">
        <f>IFERROR('Cash Flow Data'!E4,0)</f>
        <v>19340</v>
      </c>
      <c r="D70" s="21">
        <f>IFERROR('Cash Flow Data'!F4,0)</f>
        <v>19963</v>
      </c>
      <c r="E70" s="21">
        <f>IFERROR('Cash Flow Data'!G4,0)</f>
        <v>22126</v>
      </c>
      <c r="F70" s="21">
        <f>IFERROR('Cash Flow Data'!H4,0)</f>
        <v>23920</v>
      </c>
      <c r="G70" s="21">
        <f>IFERROR('Cash Flow Data'!I4,0)</f>
        <v>28845</v>
      </c>
      <c r="H70" s="21">
        <f>IFERROR('Cash Flow Data'!J4,0)</f>
        <v>32921</v>
      </c>
      <c r="I70" s="21">
        <f>IFERROR('Cash Flow Data'!K4,0)</f>
        <v>37605</v>
      </c>
      <c r="J70" s="21">
        <f>IFERROR('Cash Flow Data'!L4,0)</f>
        <v>39523</v>
      </c>
      <c r="K70" s="21">
        <f>IFERROR('Cash Flow Data'!M4,0)</f>
        <v>41591</v>
      </c>
      <c r="L70" s="21">
        <f>IFERROR('Cash Flow Data'!N4,0)</f>
        <v>45273</v>
      </c>
    </row>
    <row r="71" spans="1:13" outlineLevel="2" x14ac:dyDescent="0.35">
      <c r="B71" t="s">
        <v>42</v>
      </c>
      <c r="C71" s="21">
        <f>IFERROR('Cash Flow Data'!E5,0)</f>
        <v>-1743</v>
      </c>
      <c r="D71" s="21">
        <f>IFERROR('Cash Flow Data'!F5,0)</f>
        <v>-1523</v>
      </c>
      <c r="E71" s="21">
        <f>IFERROR('Cash Flow Data'!G5,0)</f>
        <v>-2881</v>
      </c>
      <c r="F71" s="21">
        <f>IFERROR('Cash Flow Data'!H5,0)</f>
        <v>-3861</v>
      </c>
      <c r="G71" s="21">
        <f>IFERROR('Cash Flow Data'!I5,0)</f>
        <v>-1835</v>
      </c>
      <c r="H71" s="21">
        <f>IFERROR('Cash Flow Data'!J5,0)</f>
        <v>-7937</v>
      </c>
      <c r="I71" s="21">
        <f>IFERROR('Cash Flow Data'!K5,0)</f>
        <v>-7076</v>
      </c>
      <c r="J71" s="21">
        <f>IFERROR('Cash Flow Data'!L5,0)</f>
        <v>-2667</v>
      </c>
      <c r="K71" s="21">
        <f>IFERROR('Cash Flow Data'!M5,0)</f>
        <v>-1769</v>
      </c>
      <c r="L71" s="21">
        <f>IFERROR('Cash Flow Data'!N5,0)</f>
        <v>-5177</v>
      </c>
    </row>
    <row r="72" spans="1:13" outlineLevel="2" x14ac:dyDescent="0.35">
      <c r="B72" t="s">
        <v>29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</row>
    <row r="73" spans="1:13" outlineLevel="2" x14ac:dyDescent="0.35">
      <c r="B73" t="s">
        <v>91</v>
      </c>
      <c r="C73" s="21">
        <f>IFERROR('Cash Flow Data'!E6,0)</f>
        <v>-19</v>
      </c>
      <c r="D73" s="21">
        <f>IFERROR('Cash Flow Data'!F6,0)</f>
        <v>328</v>
      </c>
      <c r="E73" s="21">
        <f>IFERROR('Cash Flow Data'!G6,0)</f>
        <v>916</v>
      </c>
      <c r="F73" s="21">
        <f>IFERROR('Cash Flow Data'!H6,0)</f>
        <v>-373</v>
      </c>
      <c r="G73" s="21">
        <f>IFERROR('Cash Flow Data'!I6,0)</f>
        <v>-245</v>
      </c>
      <c r="H73" s="21">
        <f>IFERROR('Cash Flow Data'!J6,0)</f>
        <v>1489</v>
      </c>
      <c r="I73" s="21">
        <f>IFERROR('Cash Flow Data'!K6,0)</f>
        <v>-279</v>
      </c>
      <c r="J73" s="21">
        <f>IFERROR('Cash Flow Data'!L6,0)</f>
        <v>91</v>
      </c>
      <c r="K73" s="21">
        <f>IFERROR('Cash Flow Data'!M6,0)</f>
        <v>176</v>
      </c>
      <c r="L73" s="21">
        <f>IFERROR('Cash Flow Data'!N6,0)</f>
        <v>-26</v>
      </c>
    </row>
    <row r="74" spans="1:13" outlineLevel="2" x14ac:dyDescent="0.35">
      <c r="B74" t="s">
        <v>92</v>
      </c>
      <c r="C74" s="21">
        <f>IFERROR('Cash Flow Data'!E7,0)</f>
        <v>0</v>
      </c>
      <c r="D74" s="21">
        <f>IFERROR('Cash Flow Data'!F7,0)</f>
        <v>0</v>
      </c>
      <c r="E74" s="21">
        <f>IFERROR('Cash Flow Data'!G7,0)</f>
        <v>0</v>
      </c>
      <c r="F74" s="21">
        <f>IFERROR('Cash Flow Data'!H7,0)</f>
        <v>0</v>
      </c>
      <c r="G74" s="21">
        <f>IFERROR('Cash Flow Data'!I7,0)</f>
        <v>-534</v>
      </c>
      <c r="H74" s="21">
        <f>IFERROR('Cash Flow Data'!J7,0)</f>
        <v>-1914</v>
      </c>
      <c r="I74" s="21">
        <f>IFERROR('Cash Flow Data'!K7,0)</f>
        <v>-3108</v>
      </c>
      <c r="J74" s="21">
        <f>IFERROR('Cash Flow Data'!L7,0)</f>
        <v>-1172</v>
      </c>
      <c r="K74" s="21">
        <f>IFERROR('Cash Flow Data'!M7,0)</f>
        <v>-1024</v>
      </c>
      <c r="L74" s="21">
        <f>IFERROR('Cash Flow Data'!N7,0)</f>
        <v>-2645</v>
      </c>
    </row>
    <row r="75" spans="1:13" outlineLevel="2" x14ac:dyDescent="0.35">
      <c r="B75" t="s">
        <v>93</v>
      </c>
      <c r="C75" s="21">
        <f>IFERROR('Cash Flow Data'!E8,0)</f>
        <v>-394</v>
      </c>
      <c r="D75" s="21">
        <f>IFERROR('Cash Flow Data'!F8,0)</f>
        <v>1279</v>
      </c>
      <c r="E75" s="21">
        <f>IFERROR('Cash Flow Data'!G8,0)</f>
        <v>1512</v>
      </c>
      <c r="F75" s="21">
        <f>IFERROR('Cash Flow Data'!H8,0)</f>
        <v>1867</v>
      </c>
      <c r="G75" s="21">
        <f>IFERROR('Cash Flow Data'!I8,0)</f>
        <v>3382</v>
      </c>
      <c r="H75" s="21">
        <f>IFERROR('Cash Flow Data'!J8,0)</f>
        <v>6938</v>
      </c>
      <c r="I75" s="21">
        <f>IFERROR('Cash Flow Data'!K8,0)</f>
        <v>4119</v>
      </c>
      <c r="J75" s="21">
        <f>IFERROR('Cash Flow Data'!L8,0)</f>
        <v>-1334</v>
      </c>
      <c r="K75" s="21">
        <f>IFERROR('Cash Flow Data'!M8,0)</f>
        <v>2322</v>
      </c>
      <c r="L75" s="21">
        <f>IFERROR('Cash Flow Data'!N8,0)</f>
        <v>5209</v>
      </c>
    </row>
    <row r="76" spans="1:13" outlineLevel="2" x14ac:dyDescent="0.35">
      <c r="B76" t="s">
        <v>94</v>
      </c>
      <c r="C76" s="21">
        <f>IFERROR('Cash Flow Data'!E9,0)</f>
        <v>-2156</v>
      </c>
      <c r="D76" s="21">
        <f>IFERROR('Cash Flow Data'!F9,0)</f>
        <v>84</v>
      </c>
      <c r="E76" s="21">
        <f>IFERROR('Cash Flow Data'!G9,0)</f>
        <v>-453</v>
      </c>
      <c r="F76" s="21">
        <f>IFERROR('Cash Flow Data'!H9,0)</f>
        <v>-2367</v>
      </c>
      <c r="G76" s="21">
        <f>IFERROR('Cash Flow Data'!I9,0)</f>
        <v>768</v>
      </c>
      <c r="H76" s="21">
        <f>IFERROR('Cash Flow Data'!J9,0)</f>
        <v>-1424</v>
      </c>
      <c r="I76" s="21">
        <f>IFERROR('Cash Flow Data'!K9,0)</f>
        <v>-6344</v>
      </c>
      <c r="J76" s="21">
        <f>IFERROR('Cash Flow Data'!L9,0)</f>
        <v>-5082</v>
      </c>
      <c r="K76" s="21">
        <f>IFERROR('Cash Flow Data'!M9,0)</f>
        <v>-295</v>
      </c>
      <c r="L76" s="21">
        <f>IFERROR('Cash Flow Data'!N9,0)</f>
        <v>-2639</v>
      </c>
    </row>
    <row r="77" spans="1:13" outlineLevel="2" x14ac:dyDescent="0.35">
      <c r="B77" t="s">
        <v>95</v>
      </c>
      <c r="C77" s="21">
        <f>IFERROR('Cash Flow Data'!E10,0)</f>
        <v>-5653</v>
      </c>
      <c r="D77" s="21">
        <f>IFERROR('Cash Flow Data'!F10,0)</f>
        <v>-6829</v>
      </c>
      <c r="E77" s="21">
        <f>IFERROR('Cash Flow Data'!G10,0)</f>
        <v>-6832</v>
      </c>
      <c r="F77" s="21">
        <f>IFERROR('Cash Flow Data'!H10,0)</f>
        <v>-4550</v>
      </c>
      <c r="G77" s="21">
        <f>IFERROR('Cash Flow Data'!I10,0)</f>
        <v>-6389</v>
      </c>
      <c r="H77" s="21">
        <f>IFERROR('Cash Flow Data'!J10,0)</f>
        <v>-7612</v>
      </c>
      <c r="I77" s="21">
        <f>IFERROR('Cash Flow Data'!K10,0)</f>
        <v>-8794</v>
      </c>
      <c r="J77" s="21">
        <f>IFERROR('Cash Flow Data'!L10,0)</f>
        <v>-9231</v>
      </c>
      <c r="K77" s="21">
        <f>IFERROR('Cash Flow Data'!M10,0)</f>
        <v>-5602</v>
      </c>
      <c r="L77" s="21">
        <f>IFERROR('Cash Flow Data'!N10,0)</f>
        <v>-8648</v>
      </c>
    </row>
    <row r="78" spans="1:13" outlineLevel="2" x14ac:dyDescent="0.35">
      <c r="B78" t="s">
        <v>96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</row>
    <row r="79" spans="1:13" outlineLevel="2" x14ac:dyDescent="0.35">
      <c r="B79" s="2" t="s">
        <v>121</v>
      </c>
      <c r="C79" s="23">
        <f>IFERROR(SUM(C70,C76,C77,C78),0)</f>
        <v>11531</v>
      </c>
      <c r="D79" s="23">
        <f t="shared" ref="D79:L79" si="22">IFERROR(SUM(D70,D76,D77,D78),0)</f>
        <v>13218</v>
      </c>
      <c r="E79" s="23">
        <f t="shared" si="22"/>
        <v>14841</v>
      </c>
      <c r="F79" s="23">
        <f t="shared" si="22"/>
        <v>17003</v>
      </c>
      <c r="G79" s="23">
        <f t="shared" si="22"/>
        <v>23224</v>
      </c>
      <c r="H79" s="23">
        <f t="shared" si="22"/>
        <v>23885</v>
      </c>
      <c r="I79" s="23">
        <f t="shared" si="22"/>
        <v>22467</v>
      </c>
      <c r="J79" s="23">
        <f t="shared" si="22"/>
        <v>25210</v>
      </c>
      <c r="K79" s="23">
        <f t="shared" si="22"/>
        <v>35694</v>
      </c>
      <c r="L79" s="23">
        <f t="shared" si="22"/>
        <v>33986</v>
      </c>
    </row>
    <row r="80" spans="1:13" outlineLevel="1" x14ac:dyDescent="0.35"/>
    <row r="81" spans="2:12" outlineLevel="1" x14ac:dyDescent="0.35">
      <c r="B81" s="2" t="s">
        <v>122</v>
      </c>
    </row>
    <row r="82" spans="2:12" outlineLevel="2" x14ac:dyDescent="0.35">
      <c r="B82" t="s">
        <v>97</v>
      </c>
      <c r="C82" s="21">
        <f>IFERROR('Cash Flow Data'!E12,0)</f>
        <v>-2760</v>
      </c>
      <c r="D82" s="21">
        <f>IFERROR('Cash Flow Data'!F12,0)</f>
        <v>-1998</v>
      </c>
      <c r="E82" s="21">
        <f>IFERROR('Cash Flow Data'!G12,0)</f>
        <v>-2445</v>
      </c>
      <c r="F82" s="21">
        <f>IFERROR('Cash Flow Data'!H12,0)</f>
        <v>-3307</v>
      </c>
      <c r="G82" s="21">
        <f>IFERROR('Cash Flow Data'!I12,0)</f>
        <v>-2107</v>
      </c>
      <c r="H82" s="21">
        <f>IFERROR('Cash Flow Data'!J12,0)</f>
        <v>-2161</v>
      </c>
      <c r="I82" s="21">
        <f>IFERROR('Cash Flow Data'!K12,0)</f>
        <v>-2579</v>
      </c>
      <c r="J82" s="21">
        <f>IFERROR('Cash Flow Data'!L12,0)</f>
        <v>-2201</v>
      </c>
      <c r="K82" s="21">
        <f>IFERROR('Cash Flow Data'!M12,0)</f>
        <v>-2237</v>
      </c>
      <c r="L82" s="21">
        <f>IFERROR('Cash Flow Data'!N12,0)</f>
        <v>-2727</v>
      </c>
    </row>
    <row r="83" spans="2:12" outlineLevel="2" x14ac:dyDescent="0.35">
      <c r="B83" t="s">
        <v>98</v>
      </c>
      <c r="C83" s="21">
        <f>IFERROR('Cash Flow Data'!E15,0)</f>
        <v>0</v>
      </c>
      <c r="D83" s="21">
        <f>IFERROR('Cash Flow Data'!F15,0)</f>
        <v>0</v>
      </c>
      <c r="E83" s="21">
        <f>IFERROR('Cash Flow Data'!G15,0)</f>
        <v>0</v>
      </c>
      <c r="F83" s="21">
        <f>IFERROR('Cash Flow Data'!H15,0)</f>
        <v>0</v>
      </c>
      <c r="G83" s="21">
        <f>IFERROR('Cash Flow Data'!I15,0)</f>
        <v>0</v>
      </c>
      <c r="H83" s="21">
        <f>IFERROR('Cash Flow Data'!J15,0)</f>
        <v>0</v>
      </c>
      <c r="I83" s="21">
        <f>IFERROR('Cash Flow Data'!K15,0)</f>
        <v>0</v>
      </c>
      <c r="J83" s="21">
        <f>IFERROR('Cash Flow Data'!L15,0)</f>
        <v>0</v>
      </c>
      <c r="K83" s="21">
        <f>IFERROR('Cash Flow Data'!M15,0)</f>
        <v>0</v>
      </c>
      <c r="L83" s="21">
        <f>IFERROR('Cash Flow Data'!N15,0)</f>
        <v>0</v>
      </c>
    </row>
    <row r="84" spans="2:12" outlineLevel="2" x14ac:dyDescent="0.35">
      <c r="B84" t="s">
        <v>99</v>
      </c>
      <c r="C84" s="21">
        <f>IFERROR('Cash Flow Data'!E13,0)</f>
        <v>-66410</v>
      </c>
      <c r="D84" s="21">
        <f>IFERROR('Cash Flow Data'!F13,0)</f>
        <v>-69159</v>
      </c>
      <c r="E84" s="21">
        <f>IFERROR('Cash Flow Data'!G13,0)</f>
        <v>-79410</v>
      </c>
      <c r="F84" s="21">
        <f>IFERROR('Cash Flow Data'!H13,0)</f>
        <v>-37482</v>
      </c>
      <c r="G84" s="21">
        <f>IFERROR('Cash Flow Data'!I13,0)</f>
        <v>-46738</v>
      </c>
      <c r="H84" s="21">
        <f>IFERROR('Cash Flow Data'!J13,0)</f>
        <v>-59951</v>
      </c>
      <c r="I84" s="21">
        <f>IFERROR('Cash Flow Data'!K13,0)</f>
        <v>-75800</v>
      </c>
      <c r="J84" s="21">
        <f>IFERROR('Cash Flow Data'!L13,0)</f>
        <v>-78092</v>
      </c>
      <c r="K84" s="21">
        <f>IFERROR('Cash Flow Data'!M13,0)</f>
        <v>-82742</v>
      </c>
      <c r="L84" s="21">
        <f>IFERROR('Cash Flow Data'!N13,0)</f>
        <v>-82617</v>
      </c>
    </row>
    <row r="85" spans="2:12" outlineLevel="2" x14ac:dyDescent="0.35">
      <c r="B85" t="s">
        <v>100</v>
      </c>
      <c r="C85" s="21">
        <f>IFERROR('Cash Flow Data'!E14,0)</f>
        <v>52048</v>
      </c>
      <c r="D85" s="21">
        <f>IFERROR('Cash Flow Data'!F14,0)</f>
        <v>74003</v>
      </c>
      <c r="E85" s="21">
        <f>IFERROR('Cash Flow Data'!G14,0)</f>
        <v>78098</v>
      </c>
      <c r="F85" s="21">
        <f>IFERROR('Cash Flow Data'!H14,0)</f>
        <v>38861</v>
      </c>
      <c r="G85" s="21">
        <f>IFERROR('Cash Flow Data'!I14,0)</f>
        <v>40381</v>
      </c>
      <c r="H85" s="21">
        <f>IFERROR('Cash Flow Data'!J14,0)</f>
        <v>57356</v>
      </c>
      <c r="I85" s="21">
        <f>IFERROR('Cash Flow Data'!K14,0)</f>
        <v>76722</v>
      </c>
      <c r="J85" s="21">
        <f>IFERROR('Cash Flow Data'!L14,0)</f>
        <v>72930</v>
      </c>
      <c r="K85" s="21">
        <f>IFERROR('Cash Flow Data'!M14,0)</f>
        <v>84877</v>
      </c>
      <c r="L85" s="21">
        <f>IFERROR('Cash Flow Data'!N14,0)</f>
        <v>89699</v>
      </c>
    </row>
    <row r="86" spans="2:12" outlineLevel="2" x14ac:dyDescent="0.35">
      <c r="B86" t="s">
        <v>101</v>
      </c>
      <c r="C86" s="21">
        <f>IFERROR('Cash Flow Data'!E15,0)</f>
        <v>0</v>
      </c>
      <c r="D86" s="21">
        <f>IFERROR('Cash Flow Data'!F15,0)</f>
        <v>0</v>
      </c>
      <c r="E86" s="21">
        <f>IFERROR('Cash Flow Data'!G15,0)</f>
        <v>0</v>
      </c>
      <c r="F86" s="21">
        <f>IFERROR('Cash Flow Data'!H15,0)</f>
        <v>0</v>
      </c>
      <c r="G86" s="21">
        <f>IFERROR('Cash Flow Data'!I15,0)</f>
        <v>0</v>
      </c>
      <c r="H86" s="21">
        <f>IFERROR('Cash Flow Data'!J15,0)</f>
        <v>0</v>
      </c>
      <c r="I86" s="21">
        <f>IFERROR('Cash Flow Data'!K15,0)</f>
        <v>0</v>
      </c>
      <c r="J86" s="21">
        <f>IFERROR('Cash Flow Data'!L15,0)</f>
        <v>0</v>
      </c>
      <c r="K86" s="21">
        <f>IFERROR('Cash Flow Data'!M15,0)</f>
        <v>0</v>
      </c>
      <c r="L86" s="21">
        <f>IFERROR('Cash Flow Data'!N15,0)</f>
        <v>0</v>
      </c>
    </row>
    <row r="87" spans="2:12" outlineLevel="2" x14ac:dyDescent="0.35">
      <c r="B87" t="s">
        <v>102</v>
      </c>
      <c r="C87" s="21">
        <f>IFERROR('Cash Flow Data'!E16,0)</f>
        <v>2753</v>
      </c>
      <c r="D87" s="21">
        <f>IFERROR('Cash Flow Data'!F16,0)</f>
        <v>1768</v>
      </c>
      <c r="E87" s="21">
        <f>IFERROR('Cash Flow Data'!G16,0)</f>
        <v>1557</v>
      </c>
      <c r="F87" s="21">
        <f>IFERROR('Cash Flow Data'!H16,0)</f>
        <v>1929</v>
      </c>
      <c r="G87" s="21">
        <f>IFERROR('Cash Flow Data'!I16,0)</f>
        <v>1418</v>
      </c>
      <c r="H87" s="21">
        <f>IFERROR('Cash Flow Data'!J16,0)</f>
        <v>1898</v>
      </c>
      <c r="I87" s="21">
        <f>IFERROR('Cash Flow Data'!K16,0)</f>
        <v>1525</v>
      </c>
      <c r="J87" s="21">
        <f>IFERROR('Cash Flow Data'!L16,0)</f>
        <v>1768</v>
      </c>
      <c r="K87" s="21">
        <f>IFERROR('Cash Flow Data'!M16,0)</f>
        <v>2040</v>
      </c>
      <c r="L87" s="21">
        <f>IFERROR('Cash Flow Data'!N16,0)</f>
        <v>2713</v>
      </c>
    </row>
    <row r="88" spans="2:12" outlineLevel="2" x14ac:dyDescent="0.35">
      <c r="B88" t="s">
        <v>103</v>
      </c>
      <c r="C88" s="21">
        <f>IFERROR('Cash Flow Data'!E17,0)</f>
        <v>0</v>
      </c>
      <c r="D88" s="21">
        <f>IFERROR('Cash Flow Data'!F17,0)</f>
        <v>0</v>
      </c>
      <c r="E88" s="21">
        <f>IFERROR('Cash Flow Data'!G17,0)</f>
        <v>0</v>
      </c>
      <c r="F88" s="21">
        <f>IFERROR('Cash Flow Data'!H17,0)</f>
        <v>0</v>
      </c>
      <c r="G88" s="21">
        <f>IFERROR('Cash Flow Data'!I17,0)</f>
        <v>0</v>
      </c>
      <c r="H88" s="21">
        <f>IFERROR('Cash Flow Data'!J17,0)</f>
        <v>0</v>
      </c>
      <c r="I88" s="21">
        <f>IFERROR('Cash Flow Data'!K17,0)</f>
        <v>0</v>
      </c>
      <c r="J88" s="21">
        <f>IFERROR('Cash Flow Data'!L17,0)</f>
        <v>0</v>
      </c>
      <c r="K88" s="21">
        <f>IFERROR('Cash Flow Data'!M17,0)</f>
        <v>0</v>
      </c>
      <c r="L88" s="21">
        <f>IFERROR('Cash Flow Data'!N17,0)</f>
        <v>0</v>
      </c>
    </row>
    <row r="89" spans="2:12" outlineLevel="2" x14ac:dyDescent="0.35">
      <c r="B89" t="s">
        <v>126</v>
      </c>
      <c r="C89" s="21">
        <f>IFERROR('Cash Flow Data'!E18,0)</f>
        <v>-164</v>
      </c>
      <c r="D89" s="21">
        <f>IFERROR('Cash Flow Data'!F18,0)</f>
        <v>-130</v>
      </c>
      <c r="E89" s="21">
        <f>IFERROR('Cash Flow Data'!G18,0)</f>
        <v>-24</v>
      </c>
      <c r="F89" s="21">
        <f>IFERROR('Cash Flow Data'!H18,0)</f>
        <v>-108</v>
      </c>
      <c r="G89" s="21">
        <f>IFERROR('Cash Flow Data'!I18,0)</f>
        <v>0</v>
      </c>
      <c r="H89" s="21">
        <f>IFERROR('Cash Flow Data'!J18,0)</f>
        <v>0</v>
      </c>
      <c r="I89" s="21">
        <f>IFERROR('Cash Flow Data'!K18,0)</f>
        <v>0</v>
      </c>
      <c r="J89" s="21">
        <f>IFERROR('Cash Flow Data'!L18,0)</f>
        <v>0</v>
      </c>
      <c r="K89" s="21">
        <f>IFERROR('Cash Flow Data'!M18,0)</f>
        <v>0</v>
      </c>
      <c r="L89" s="21">
        <f>IFERROR('Cash Flow Data'!N18,0)</f>
        <v>0</v>
      </c>
    </row>
    <row r="90" spans="2:12" outlineLevel="2" x14ac:dyDescent="0.35">
      <c r="B90" t="s">
        <v>104</v>
      </c>
      <c r="C90" s="21">
        <f>IFERROR('Cash Flow Data'!E19,0)</f>
        <v>-131</v>
      </c>
      <c r="D90" s="21">
        <f>IFERROR('Cash Flow Data'!F19,0)</f>
        <v>49</v>
      </c>
      <c r="E90" s="21">
        <f>IFERROR('Cash Flow Data'!G19,0)</f>
        <v>1592</v>
      </c>
      <c r="F90" s="21">
        <f>IFERROR('Cash Flow Data'!H19,0)</f>
        <v>-224</v>
      </c>
      <c r="G90" s="21">
        <f>IFERROR('Cash Flow Data'!I19,0)</f>
        <v>-327</v>
      </c>
      <c r="H90" s="21">
        <f>IFERROR('Cash Flow Data'!J19,0)</f>
        <v>-3627</v>
      </c>
      <c r="I90" s="21">
        <f>IFERROR('Cash Flow Data'!K19,0)</f>
        <v>-939</v>
      </c>
      <c r="J90" s="21">
        <f>IFERROR('Cash Flow Data'!L19,0)</f>
        <v>502</v>
      </c>
      <c r="K90" s="21">
        <f>IFERROR('Cash Flow Data'!M19,0)</f>
        <v>-3802</v>
      </c>
      <c r="L90" s="21">
        <f>IFERROR('Cash Flow Data'!N19,0)</f>
        <v>-3522</v>
      </c>
    </row>
    <row r="91" spans="2:12" outlineLevel="2" x14ac:dyDescent="0.35">
      <c r="B91" s="2" t="s">
        <v>123</v>
      </c>
      <c r="C91" s="23">
        <f>IFERROR(SUM(C82:C90),0)</f>
        <v>-14664</v>
      </c>
      <c r="D91" s="23">
        <f t="shared" ref="D91:L91" si="23">IFERROR(SUM(D82:D90),0)</f>
        <v>4533</v>
      </c>
      <c r="E91" s="23">
        <f t="shared" si="23"/>
        <v>-632</v>
      </c>
      <c r="F91" s="23">
        <f t="shared" si="23"/>
        <v>-331</v>
      </c>
      <c r="G91" s="23">
        <f t="shared" si="23"/>
        <v>-7373</v>
      </c>
      <c r="H91" s="23">
        <f t="shared" si="23"/>
        <v>-6485</v>
      </c>
      <c r="I91" s="23">
        <f t="shared" si="23"/>
        <v>-1071</v>
      </c>
      <c r="J91" s="23">
        <f t="shared" si="23"/>
        <v>-5093</v>
      </c>
      <c r="K91" s="23">
        <f t="shared" si="23"/>
        <v>-1864</v>
      </c>
      <c r="L91" s="23">
        <f t="shared" si="23"/>
        <v>3546</v>
      </c>
    </row>
    <row r="92" spans="2:12" outlineLevel="1" x14ac:dyDescent="0.35"/>
    <row r="93" spans="2:12" outlineLevel="1" x14ac:dyDescent="0.35">
      <c r="B93" s="2" t="s">
        <v>124</v>
      </c>
    </row>
    <row r="94" spans="2:12" outlineLevel="2" x14ac:dyDescent="0.35">
      <c r="B94" t="s">
        <v>105</v>
      </c>
      <c r="C94" s="21">
        <f>IFERROR('Cash Flow Data'!E21,0)</f>
        <v>0</v>
      </c>
      <c r="D94" s="21">
        <f>IFERROR('Cash Flow Data'!F21,0)</f>
        <v>5</v>
      </c>
      <c r="E94" s="21">
        <f>IFERROR('Cash Flow Data'!G21,0)</f>
        <v>6</v>
      </c>
      <c r="F94" s="21">
        <f>IFERROR('Cash Flow Data'!H21,0)</f>
        <v>6</v>
      </c>
      <c r="G94" s="21">
        <f>IFERROR('Cash Flow Data'!I21,0)</f>
        <v>15</v>
      </c>
      <c r="H94" s="21">
        <f>IFERROR('Cash Flow Data'!J21,0)</f>
        <v>21</v>
      </c>
      <c r="I94" s="21">
        <f>IFERROR('Cash Flow Data'!K21,0)</f>
        <v>35</v>
      </c>
      <c r="J94" s="21">
        <f>IFERROR('Cash Flow Data'!L21,0)</f>
        <v>5</v>
      </c>
      <c r="K94" s="21">
        <f>IFERROR('Cash Flow Data'!M21,0)</f>
        <v>6</v>
      </c>
      <c r="L94" s="21">
        <f>IFERROR('Cash Flow Data'!N21,0)</f>
        <v>2</v>
      </c>
    </row>
    <row r="95" spans="2:12" outlineLevel="2" x14ac:dyDescent="0.35">
      <c r="B95" t="s">
        <v>106</v>
      </c>
      <c r="C95" s="21">
        <v>0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</row>
    <row r="96" spans="2:12" outlineLevel="2" x14ac:dyDescent="0.35">
      <c r="B96" t="s">
        <v>107</v>
      </c>
      <c r="C96" s="21">
        <f>IFERROR('Cash Flow Data'!E22,0)</f>
        <v>0</v>
      </c>
      <c r="D96" s="21">
        <f>IFERROR('Cash Flow Data'!F22,0)</f>
        <v>0</v>
      </c>
      <c r="E96" s="21">
        <f>IFERROR('Cash Flow Data'!G22,0)</f>
        <v>0</v>
      </c>
      <c r="F96" s="21">
        <f>IFERROR('Cash Flow Data'!H22,0)</f>
        <v>0</v>
      </c>
      <c r="G96" s="21">
        <f>IFERROR('Cash Flow Data'!I22,0)</f>
        <v>0</v>
      </c>
      <c r="H96" s="21">
        <f>IFERROR('Cash Flow Data'!J22,0)</f>
        <v>0</v>
      </c>
      <c r="I96" s="21">
        <f>IFERROR('Cash Flow Data'!K22,0)</f>
        <v>0</v>
      </c>
      <c r="J96" s="21">
        <f>IFERROR('Cash Flow Data'!L22,0)</f>
        <v>0</v>
      </c>
      <c r="K96" s="21">
        <f>IFERROR('Cash Flow Data'!M22,0)</f>
        <v>-985</v>
      </c>
      <c r="L96" s="21">
        <f>IFERROR('Cash Flow Data'!N22,0)</f>
        <v>0</v>
      </c>
    </row>
    <row r="97" spans="2:12" outlineLevel="2" x14ac:dyDescent="0.35">
      <c r="B97" t="s">
        <v>108</v>
      </c>
      <c r="C97" s="21">
        <v>0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</row>
    <row r="98" spans="2:12" outlineLevel="2" x14ac:dyDescent="0.35">
      <c r="B98" t="s">
        <v>109</v>
      </c>
      <c r="C98" s="21">
        <v>0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</row>
    <row r="99" spans="2:12" outlineLevel="2" x14ac:dyDescent="0.35">
      <c r="B99" t="s">
        <v>110</v>
      </c>
      <c r="C99" s="21">
        <f>IFERROR('Cash Flow Data'!E23,0)</f>
        <v>-6939</v>
      </c>
      <c r="D99" s="21">
        <f>IFERROR('Cash Flow Data'!F23,0)</f>
        <v>-7464</v>
      </c>
      <c r="E99" s="21">
        <f>IFERROR('Cash Flow Data'!G23,0)</f>
        <v>-13705</v>
      </c>
      <c r="F99" s="21">
        <f>IFERROR('Cash Flow Data'!H23,0)</f>
        <v>-9548</v>
      </c>
      <c r="G99" s="21">
        <f>IFERROR('Cash Flow Data'!I23,0)</f>
        <v>-9137</v>
      </c>
      <c r="H99" s="21">
        <f>IFERROR('Cash Flow Data'!J23,0)</f>
        <v>-12731</v>
      </c>
      <c r="I99" s="21">
        <f>IFERROR('Cash Flow Data'!K23,0)</f>
        <v>-13653</v>
      </c>
      <c r="J99" s="21">
        <f>IFERROR('Cash Flow Data'!L23,0)</f>
        <v>-14731</v>
      </c>
      <c r="K99" s="21">
        <f>IFERROR('Cash Flow Data'!M23,0)</f>
        <v>-20289</v>
      </c>
      <c r="L99" s="21">
        <f>IFERROR('Cash Flow Data'!N23,0)</f>
        <v>-18656</v>
      </c>
    </row>
    <row r="100" spans="2:12" outlineLevel="2" x14ac:dyDescent="0.35">
      <c r="B100" t="s">
        <v>111</v>
      </c>
      <c r="C100" s="21">
        <f>IFERROR('Cash Flow Data'!E24,0)</f>
        <v>0</v>
      </c>
      <c r="D100" s="21">
        <f>IFERROR('Cash Flow Data'!F24,0)</f>
        <v>0</v>
      </c>
      <c r="E100" s="21">
        <f>IFERROR('Cash Flow Data'!G24,0)</f>
        <v>0</v>
      </c>
      <c r="F100" s="21">
        <f>IFERROR('Cash Flow Data'!H24,0)</f>
        <v>-571</v>
      </c>
      <c r="G100" s="21">
        <f>IFERROR('Cash Flow Data'!I24,0)</f>
        <v>-698</v>
      </c>
      <c r="H100" s="21">
        <f>IFERROR('Cash Flow Data'!J24,0)</f>
        <v>-915</v>
      </c>
      <c r="I100" s="21">
        <f>IFERROR('Cash Flow Data'!K24,0)</f>
        <v>-1231</v>
      </c>
      <c r="J100" s="21">
        <f>IFERROR('Cash Flow Data'!L24,0)</f>
        <v>-2024</v>
      </c>
      <c r="K100" s="21">
        <f>IFERROR('Cash Flow Data'!M24,0)</f>
        <v>-2355</v>
      </c>
      <c r="L100" s="21">
        <f>IFERROR('Cash Flow Data'!N24,0)</f>
        <v>-2824</v>
      </c>
    </row>
    <row r="101" spans="2:12" outlineLevel="2" x14ac:dyDescent="0.35">
      <c r="B101" t="s">
        <v>112</v>
      </c>
      <c r="C101" s="21">
        <v>0</v>
      </c>
      <c r="D101" s="21"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</row>
    <row r="102" spans="2:12" outlineLevel="2" x14ac:dyDescent="0.35">
      <c r="B102" t="s">
        <v>113</v>
      </c>
      <c r="C102" s="21">
        <f>IFERROR('Cash Flow Data'!E25,0)</f>
        <v>0</v>
      </c>
      <c r="D102" s="21">
        <f>IFERROR('Cash Flow Data'!F25,0)</f>
        <v>-13046</v>
      </c>
      <c r="E102" s="21">
        <f>IFERROR('Cash Flow Data'!G25,0)</f>
        <v>-813</v>
      </c>
      <c r="F102" s="21">
        <f>IFERROR('Cash Flow Data'!H25,0)</f>
        <v>-7478</v>
      </c>
      <c r="G102" s="21">
        <f>IFERROR('Cash Flow Data'!I25,0)</f>
        <v>34</v>
      </c>
      <c r="H102" s="21">
        <f>IFERROR('Cash Flow Data'!J25,0)</f>
        <v>-11017</v>
      </c>
      <c r="I102" s="21">
        <f>IFERROR('Cash Flow Data'!K25,0)</f>
        <v>-11846</v>
      </c>
      <c r="J102" s="21">
        <f>IFERROR('Cash Flow Data'!L25,0)</f>
        <v>-754</v>
      </c>
      <c r="K102" s="21">
        <f>IFERROR('Cash Flow Data'!M25,0)</f>
        <v>-538</v>
      </c>
      <c r="L102" s="21">
        <f>IFERROR('Cash Flow Data'!N25,0)</f>
        <v>-18308</v>
      </c>
    </row>
    <row r="103" spans="2:12" outlineLevel="2" x14ac:dyDescent="0.35">
      <c r="B103" s="2" t="s">
        <v>125</v>
      </c>
      <c r="C103" s="23">
        <f t="shared" ref="C103:L103" si="24">IFERROR(SUM(C94:C102),0)</f>
        <v>-6939</v>
      </c>
      <c r="D103" s="23">
        <f t="shared" si="24"/>
        <v>-20505</v>
      </c>
      <c r="E103" s="23">
        <f t="shared" si="24"/>
        <v>-14512</v>
      </c>
      <c r="F103" s="23">
        <f t="shared" si="24"/>
        <v>-17591</v>
      </c>
      <c r="G103" s="23">
        <f t="shared" si="24"/>
        <v>-9786</v>
      </c>
      <c r="H103" s="23">
        <f t="shared" si="24"/>
        <v>-24642</v>
      </c>
      <c r="I103" s="23">
        <f t="shared" si="24"/>
        <v>-26695</v>
      </c>
      <c r="J103" s="23">
        <f t="shared" si="24"/>
        <v>-17504</v>
      </c>
      <c r="K103" s="23">
        <f t="shared" si="24"/>
        <v>-24161</v>
      </c>
      <c r="L103" s="23">
        <f t="shared" si="24"/>
        <v>-39786</v>
      </c>
    </row>
    <row r="104" spans="2:12" outlineLevel="2" x14ac:dyDescent="0.35"/>
    <row r="105" spans="2:12" outlineLevel="2" x14ac:dyDescent="0.35">
      <c r="B105" s="2" t="s">
        <v>20</v>
      </c>
      <c r="C105" s="23">
        <f t="shared" ref="C105:L105" si="25">IFERROR(SUM(C103,C91,C79),0)</f>
        <v>-10072</v>
      </c>
      <c r="D105" s="23">
        <f t="shared" si="25"/>
        <v>-2754</v>
      </c>
      <c r="E105" s="23">
        <f t="shared" si="25"/>
        <v>-303</v>
      </c>
      <c r="F105" s="23">
        <f t="shared" si="25"/>
        <v>-919</v>
      </c>
      <c r="G105" s="23">
        <f t="shared" si="25"/>
        <v>6065</v>
      </c>
      <c r="H105" s="23">
        <f t="shared" si="25"/>
        <v>-7242</v>
      </c>
      <c r="I105" s="23">
        <f t="shared" si="25"/>
        <v>-5299</v>
      </c>
      <c r="J105" s="23">
        <f t="shared" si="25"/>
        <v>2613</v>
      </c>
      <c r="K105" s="23">
        <f t="shared" si="25"/>
        <v>9669</v>
      </c>
      <c r="L105" s="23">
        <f t="shared" si="25"/>
        <v>-2254</v>
      </c>
    </row>
  </sheetData>
  <mergeCells count="1">
    <mergeCell ref="B2:M2"/>
  </mergeCells>
  <pageMargins left="0.7" right="0.7" top="0.75" bottom="0.75" header="0.3" footer="0.3"/>
  <pageSetup paperSize="9" orientation="portrait" r:id="rId1"/>
  <ignoredErrors>
    <ignoredError sqref="M6 C9:K9 M9 C15:L15 M21 M24 M3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38AEE-D5C1-4DBA-A226-F0E6487CFD60}">
  <sheetPr>
    <tabColor rgb="FF0070C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53" activePane="bottomRight" state="frozen"/>
      <selection activeCell="C4" sqref="C4"/>
      <selection pane="topRight" activeCell="C4" sqref="C4"/>
      <selection pane="bottomLeft" activeCell="C4" sqref="C4"/>
      <selection pane="bottomRight" activeCell="B66" sqref="B66"/>
    </sheetView>
  </sheetViews>
  <sheetFormatPr defaultColWidth="8.81640625" defaultRowHeight="14.5" x14ac:dyDescent="0.35"/>
  <cols>
    <col min="1" max="1" width="27.6328125" style="3" bestFit="1" customWidth="1"/>
    <col min="2" max="11" width="13.453125" style="3" bestFit="1" customWidth="1"/>
    <col min="12" max="16384" width="8.81640625" style="3"/>
  </cols>
  <sheetData>
    <row r="1" spans="1:11" s="1" customFormat="1" x14ac:dyDescent="0.35">
      <c r="A1" s="1" t="s">
        <v>0</v>
      </c>
      <c r="B1" s="1" t="s">
        <v>32</v>
      </c>
      <c r="E1" s="28" t="str">
        <f>IF(B2&lt;&gt;B3, "A NEW VERSION OF THE WORKSHEET IS AVAILABLE", "")</f>
        <v/>
      </c>
      <c r="F1" s="28"/>
      <c r="G1" s="28"/>
      <c r="H1" s="28"/>
      <c r="I1" s="28"/>
      <c r="J1" s="28"/>
      <c r="K1" s="28"/>
    </row>
    <row r="2" spans="1:11" x14ac:dyDescent="0.35">
      <c r="A2" s="1" t="s">
        <v>30</v>
      </c>
      <c r="B2" s="3">
        <v>2.1</v>
      </c>
      <c r="E2" s="29" t="s">
        <v>21</v>
      </c>
      <c r="F2" s="29"/>
      <c r="G2" s="29"/>
      <c r="H2" s="29"/>
      <c r="I2" s="29"/>
      <c r="J2" s="29"/>
      <c r="K2" s="29"/>
    </row>
    <row r="3" spans="1:11" x14ac:dyDescent="0.35">
      <c r="A3" s="1" t="s">
        <v>31</v>
      </c>
      <c r="B3" s="3">
        <v>2.1</v>
      </c>
    </row>
    <row r="4" spans="1:11" x14ac:dyDescent="0.35">
      <c r="A4" s="1"/>
    </row>
    <row r="5" spans="1:11" x14ac:dyDescent="0.35">
      <c r="A5" s="1" t="s">
        <v>33</v>
      </c>
    </row>
    <row r="6" spans="1:11" x14ac:dyDescent="0.35">
      <c r="A6" s="3" t="s">
        <v>27</v>
      </c>
      <c r="B6" s="3">
        <f>IF(B9&gt;0, B9/B8, 0)</f>
        <v>405.75788417692661</v>
      </c>
    </row>
    <row r="7" spans="1:11" x14ac:dyDescent="0.35">
      <c r="A7" s="3" t="s">
        <v>16</v>
      </c>
      <c r="B7">
        <v>5</v>
      </c>
    </row>
    <row r="8" spans="1:11" x14ac:dyDescent="0.35">
      <c r="A8" s="3" t="s">
        <v>28</v>
      </c>
      <c r="B8">
        <v>1096.5</v>
      </c>
    </row>
    <row r="9" spans="1:11" x14ac:dyDescent="0.35">
      <c r="A9" s="3" t="s">
        <v>43</v>
      </c>
      <c r="B9">
        <v>444913.52</v>
      </c>
    </row>
    <row r="15" spans="1:11" x14ac:dyDescent="0.35">
      <c r="A15" s="1" t="s">
        <v>22</v>
      </c>
    </row>
    <row r="16" spans="1:11" s="7" customFormat="1" x14ac:dyDescent="0.35">
      <c r="A16" s="6" t="s">
        <v>23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s="4" customFormat="1" x14ac:dyDescent="0.35">
      <c r="A17" s="4" t="s">
        <v>1</v>
      </c>
      <c r="B17">
        <v>68484</v>
      </c>
      <c r="C17">
        <v>70522</v>
      </c>
      <c r="D17">
        <v>82675</v>
      </c>
      <c r="E17">
        <v>90791</v>
      </c>
      <c r="F17">
        <v>100472</v>
      </c>
      <c r="G17">
        <v>121641</v>
      </c>
      <c r="H17">
        <v>146767</v>
      </c>
      <c r="I17">
        <v>153670</v>
      </c>
      <c r="J17">
        <v>162990</v>
      </c>
      <c r="K17">
        <v>178650</v>
      </c>
    </row>
    <row r="18" spans="1:11" s="4" customFormat="1" x14ac:dyDescent="0.35">
      <c r="A18" s="3" t="s">
        <v>44</v>
      </c>
    </row>
    <row r="19" spans="1:11" s="4" customFormat="1" x14ac:dyDescent="0.35">
      <c r="A19" s="3" t="s">
        <v>45</v>
      </c>
    </row>
    <row r="20" spans="1:11" s="4" customFormat="1" x14ac:dyDescent="0.35">
      <c r="A20" s="3" t="s">
        <v>46</v>
      </c>
      <c r="B20">
        <v>228</v>
      </c>
      <c r="C20">
        <v>207</v>
      </c>
      <c r="D20">
        <v>221</v>
      </c>
      <c r="E20">
        <v>229</v>
      </c>
      <c r="F20">
        <v>143</v>
      </c>
      <c r="G20">
        <v>132</v>
      </c>
      <c r="H20">
        <v>176</v>
      </c>
      <c r="I20">
        <v>199</v>
      </c>
      <c r="J20">
        <v>222</v>
      </c>
      <c r="K20">
        <v>223</v>
      </c>
    </row>
    <row r="21" spans="1:11" s="4" customFormat="1" x14ac:dyDescent="0.35">
      <c r="A21" s="3" t="s">
        <v>47</v>
      </c>
      <c r="B21">
        <v>6712</v>
      </c>
      <c r="C21">
        <v>7286</v>
      </c>
      <c r="D21">
        <v>9902</v>
      </c>
      <c r="E21">
        <v>11086</v>
      </c>
      <c r="F21">
        <v>12800</v>
      </c>
      <c r="G21">
        <v>20690</v>
      </c>
      <c r="H21">
        <v>26330</v>
      </c>
      <c r="I21">
        <v>27195</v>
      </c>
      <c r="J21">
        <v>30395</v>
      </c>
      <c r="K21">
        <v>32922</v>
      </c>
    </row>
    <row r="22" spans="1:11" s="4" customFormat="1" x14ac:dyDescent="0.35">
      <c r="A22" s="3" t="s">
        <v>48</v>
      </c>
      <c r="B22">
        <v>37669</v>
      </c>
      <c r="C22">
        <v>38902</v>
      </c>
      <c r="D22">
        <v>45323</v>
      </c>
      <c r="E22">
        <v>50895</v>
      </c>
      <c r="F22">
        <v>55547</v>
      </c>
      <c r="G22">
        <v>63997</v>
      </c>
      <c r="H22">
        <v>78374</v>
      </c>
      <c r="I22">
        <v>82636</v>
      </c>
      <c r="J22">
        <v>85968</v>
      </c>
      <c r="K22">
        <v>95112</v>
      </c>
    </row>
    <row r="23" spans="1:11" s="4" customFormat="1" x14ac:dyDescent="0.35">
      <c r="A23" s="3" t="s">
        <v>49</v>
      </c>
      <c r="B23">
        <v>4584</v>
      </c>
      <c r="C23">
        <v>4585</v>
      </c>
      <c r="D23">
        <v>5553</v>
      </c>
      <c r="E23">
        <v>5375</v>
      </c>
      <c r="F23">
        <v>3194</v>
      </c>
      <c r="G23">
        <v>4305</v>
      </c>
      <c r="H23">
        <v>5300</v>
      </c>
      <c r="I23">
        <v>5705</v>
      </c>
      <c r="J23">
        <v>6039</v>
      </c>
      <c r="K23">
        <v>6784</v>
      </c>
    </row>
    <row r="24" spans="1:11" s="4" customFormat="1" x14ac:dyDescent="0.35">
      <c r="A24" s="3" t="s">
        <v>50</v>
      </c>
      <c r="B24">
        <v>687</v>
      </c>
      <c r="C24">
        <v>720</v>
      </c>
      <c r="D24">
        <v>1506</v>
      </c>
      <c r="E24">
        <v>939</v>
      </c>
      <c r="F24">
        <v>899</v>
      </c>
      <c r="G24">
        <v>1026</v>
      </c>
      <c r="H24">
        <v>1457</v>
      </c>
      <c r="I24">
        <v>1510</v>
      </c>
      <c r="J24">
        <v>1130</v>
      </c>
      <c r="K24">
        <v>1329</v>
      </c>
    </row>
    <row r="25" spans="1:11" s="4" customFormat="1" x14ac:dyDescent="0.35">
      <c r="A25" s="4" t="s">
        <v>4</v>
      </c>
      <c r="B25">
        <v>3050</v>
      </c>
      <c r="C25">
        <v>3311</v>
      </c>
      <c r="D25">
        <v>2882</v>
      </c>
      <c r="E25">
        <v>2803</v>
      </c>
      <c r="F25">
        <v>2201</v>
      </c>
      <c r="G25">
        <v>2295</v>
      </c>
      <c r="H25">
        <v>2701</v>
      </c>
      <c r="I25">
        <v>4711</v>
      </c>
      <c r="J25">
        <v>3600</v>
      </c>
      <c r="K25">
        <v>3033</v>
      </c>
    </row>
    <row r="26" spans="1:11" s="4" customFormat="1" x14ac:dyDescent="0.35">
      <c r="A26" s="4" t="s">
        <v>5</v>
      </c>
      <c r="B26">
        <v>1703</v>
      </c>
      <c r="C26">
        <v>1863</v>
      </c>
      <c r="D26">
        <v>2011</v>
      </c>
      <c r="E26">
        <v>2893</v>
      </c>
      <c r="F26">
        <v>3267</v>
      </c>
      <c r="G26">
        <v>3476</v>
      </c>
      <c r="H26">
        <v>4225</v>
      </c>
      <c r="I26">
        <v>4678</v>
      </c>
      <c r="J26">
        <v>4812</v>
      </c>
      <c r="K26">
        <v>4902</v>
      </c>
    </row>
    <row r="27" spans="1:11" s="4" customFormat="1" x14ac:dyDescent="0.35">
      <c r="A27" s="4" t="s">
        <v>6</v>
      </c>
      <c r="B27"/>
      <c r="C27"/>
      <c r="D27"/>
      <c r="E27">
        <v>170</v>
      </c>
      <c r="F27">
        <v>195</v>
      </c>
      <c r="G27">
        <v>200</v>
      </c>
      <c r="H27">
        <v>284</v>
      </c>
      <c r="I27">
        <v>470</v>
      </c>
      <c r="J27">
        <v>416</v>
      </c>
      <c r="K27">
        <v>416</v>
      </c>
    </row>
    <row r="28" spans="1:11" s="4" customFormat="1" x14ac:dyDescent="0.35">
      <c r="A28" s="4" t="s">
        <v>7</v>
      </c>
      <c r="B28">
        <v>19951</v>
      </c>
      <c r="C28">
        <v>20270</v>
      </c>
      <c r="D28">
        <v>21041</v>
      </c>
      <c r="E28">
        <v>22007</v>
      </c>
      <c r="F28">
        <v>26628</v>
      </c>
      <c r="G28">
        <v>30110</v>
      </c>
      <c r="H28">
        <v>33322</v>
      </c>
      <c r="I28">
        <v>35988</v>
      </c>
      <c r="J28">
        <v>37608</v>
      </c>
      <c r="K28">
        <v>39995</v>
      </c>
    </row>
    <row r="29" spans="1:11" s="4" customFormat="1" x14ac:dyDescent="0.35">
      <c r="A29" s="4" t="s">
        <v>8</v>
      </c>
      <c r="B29">
        <v>5598</v>
      </c>
      <c r="C29">
        <v>4241</v>
      </c>
      <c r="D29">
        <v>5631</v>
      </c>
      <c r="E29">
        <v>5368</v>
      </c>
      <c r="F29">
        <v>7205</v>
      </c>
      <c r="G29">
        <v>7964</v>
      </c>
      <c r="H29">
        <v>9214</v>
      </c>
      <c r="I29">
        <v>9740</v>
      </c>
      <c r="J29">
        <v>10858</v>
      </c>
      <c r="K29">
        <v>10521</v>
      </c>
    </row>
    <row r="30" spans="1:11" s="4" customFormat="1" x14ac:dyDescent="0.35">
      <c r="A30" s="4" t="s">
        <v>9</v>
      </c>
      <c r="B30">
        <v>14353</v>
      </c>
      <c r="C30">
        <v>16029</v>
      </c>
      <c r="D30">
        <v>15404</v>
      </c>
      <c r="E30">
        <v>16594</v>
      </c>
      <c r="F30">
        <v>19351</v>
      </c>
      <c r="G30">
        <v>22110</v>
      </c>
      <c r="H30">
        <v>24095</v>
      </c>
      <c r="I30">
        <v>26233</v>
      </c>
      <c r="J30">
        <v>26713</v>
      </c>
      <c r="K30">
        <v>29440</v>
      </c>
    </row>
    <row r="31" spans="1:11" s="4" customFormat="1" x14ac:dyDescent="0.35">
      <c r="A31" s="4" t="s">
        <v>34</v>
      </c>
      <c r="B31">
        <v>5891.6</v>
      </c>
      <c r="C31">
        <v>9465.6</v>
      </c>
      <c r="D31">
        <v>9222.5</v>
      </c>
      <c r="E31">
        <v>7427</v>
      </c>
      <c r="F31">
        <v>11469.6</v>
      </c>
      <c r="G31">
        <v>13007.6</v>
      </c>
      <c r="H31">
        <v>14069.2</v>
      </c>
      <c r="I31">
        <v>19053.2</v>
      </c>
      <c r="J31">
        <v>17827.8</v>
      </c>
      <c r="K31">
        <v>19430.400000000001</v>
      </c>
    </row>
    <row r="32" spans="1:11" s="4" customFormat="1" x14ac:dyDescent="0.35"/>
    <row r="33" spans="1:11" x14ac:dyDescent="0.35">
      <c r="A33" s="4"/>
    </row>
    <row r="34" spans="1:11" x14ac:dyDescent="0.35">
      <c r="A34" s="4"/>
    </row>
    <row r="35" spans="1:11" x14ac:dyDescent="0.35">
      <c r="A35" s="4"/>
    </row>
    <row r="36" spans="1:11" x14ac:dyDescent="0.35">
      <c r="A36" s="4"/>
    </row>
    <row r="37" spans="1:11" x14ac:dyDescent="0.35">
      <c r="A37" s="4"/>
    </row>
    <row r="38" spans="1:11" x14ac:dyDescent="0.35">
      <c r="A38" s="4"/>
    </row>
    <row r="39" spans="1:11" x14ac:dyDescent="0.35">
      <c r="A39" s="4"/>
    </row>
    <row r="40" spans="1:11" x14ac:dyDescent="0.35">
      <c r="A40" s="1" t="s">
        <v>24</v>
      </c>
    </row>
    <row r="41" spans="1:11" s="7" customFormat="1" x14ac:dyDescent="0.35">
      <c r="A41" s="6" t="s">
        <v>23</v>
      </c>
      <c r="B41" s="5">
        <v>45291</v>
      </c>
      <c r="C41" s="5">
        <v>45382</v>
      </c>
      <c r="D41" s="5">
        <v>45473</v>
      </c>
      <c r="E41" s="5">
        <v>45565</v>
      </c>
      <c r="F41" s="5">
        <v>45657</v>
      </c>
      <c r="G41" s="5">
        <v>45747</v>
      </c>
      <c r="H41" s="5">
        <v>45838</v>
      </c>
      <c r="I41" s="5">
        <v>45930</v>
      </c>
      <c r="J41" s="5">
        <v>46022</v>
      </c>
      <c r="K41" s="5">
        <v>46112</v>
      </c>
    </row>
    <row r="42" spans="1:11" s="4" customFormat="1" x14ac:dyDescent="0.35">
      <c r="A42" s="4" t="s">
        <v>1</v>
      </c>
      <c r="B42">
        <v>38821</v>
      </c>
      <c r="C42">
        <v>37923</v>
      </c>
      <c r="D42">
        <v>39315</v>
      </c>
      <c r="E42">
        <v>40986</v>
      </c>
      <c r="F42">
        <v>41764</v>
      </c>
      <c r="G42">
        <v>40925</v>
      </c>
      <c r="H42">
        <v>42279</v>
      </c>
      <c r="I42">
        <v>44490</v>
      </c>
      <c r="J42">
        <v>45479</v>
      </c>
      <c r="K42">
        <v>46402</v>
      </c>
    </row>
    <row r="43" spans="1:11" s="4" customFormat="1" x14ac:dyDescent="0.35">
      <c r="A43" s="4" t="s">
        <v>2</v>
      </c>
      <c r="B43">
        <v>29684</v>
      </c>
      <c r="C43">
        <v>29139</v>
      </c>
      <c r="D43">
        <v>29878</v>
      </c>
      <c r="E43">
        <v>31177</v>
      </c>
      <c r="F43">
        <v>31649</v>
      </c>
      <c r="G43">
        <v>31051</v>
      </c>
      <c r="H43">
        <v>32336</v>
      </c>
      <c r="I43">
        <v>33955</v>
      </c>
      <c r="J43">
        <v>34845</v>
      </c>
      <c r="K43">
        <v>35235</v>
      </c>
    </row>
    <row r="44" spans="1:11" s="4" customFormat="1" x14ac:dyDescent="0.35">
      <c r="A44" s="4" t="s">
        <v>4</v>
      </c>
      <c r="B44">
        <v>789</v>
      </c>
      <c r="C44">
        <v>2729</v>
      </c>
      <c r="D44">
        <v>838</v>
      </c>
      <c r="E44">
        <v>712</v>
      </c>
      <c r="F44">
        <v>859</v>
      </c>
      <c r="G44">
        <v>1190</v>
      </c>
      <c r="H44">
        <v>1042</v>
      </c>
      <c r="I44">
        <v>982</v>
      </c>
      <c r="J44">
        <v>-150</v>
      </c>
      <c r="K44">
        <v>1159</v>
      </c>
    </row>
    <row r="45" spans="1:11" s="4" customFormat="1" x14ac:dyDescent="0.35">
      <c r="A45" s="4" t="s">
        <v>5</v>
      </c>
      <c r="B45">
        <v>1176</v>
      </c>
      <c r="C45">
        <v>1163</v>
      </c>
      <c r="D45">
        <v>1149</v>
      </c>
      <c r="E45">
        <v>1160</v>
      </c>
      <c r="F45">
        <v>1203</v>
      </c>
      <c r="G45">
        <v>1299</v>
      </c>
      <c r="H45">
        <v>1140</v>
      </c>
      <c r="I45">
        <v>1182</v>
      </c>
      <c r="J45">
        <v>1155</v>
      </c>
      <c r="K45">
        <v>1424</v>
      </c>
    </row>
    <row r="46" spans="1:11" s="4" customFormat="1" x14ac:dyDescent="0.35">
      <c r="A46" s="4" t="s">
        <v>6</v>
      </c>
      <c r="B46">
        <v>131</v>
      </c>
      <c r="C46">
        <v>110</v>
      </c>
      <c r="D46">
        <v>105</v>
      </c>
      <c r="E46">
        <v>108</v>
      </c>
      <c r="F46">
        <v>101</v>
      </c>
      <c r="G46">
        <v>102</v>
      </c>
      <c r="H46">
        <v>105</v>
      </c>
      <c r="I46">
        <v>106</v>
      </c>
      <c r="J46">
        <v>100</v>
      </c>
      <c r="K46">
        <v>105</v>
      </c>
    </row>
    <row r="47" spans="1:11" s="4" customFormat="1" x14ac:dyDescent="0.35">
      <c r="A47" s="4" t="s">
        <v>7</v>
      </c>
      <c r="B47">
        <v>8619</v>
      </c>
      <c r="C47">
        <v>10240</v>
      </c>
      <c r="D47">
        <v>9021</v>
      </c>
      <c r="E47">
        <v>9253</v>
      </c>
      <c r="F47">
        <v>9670</v>
      </c>
      <c r="G47">
        <v>9663</v>
      </c>
      <c r="H47">
        <v>9740</v>
      </c>
      <c r="I47">
        <v>10229</v>
      </c>
      <c r="J47">
        <v>9229</v>
      </c>
      <c r="K47">
        <v>10797</v>
      </c>
    </row>
    <row r="48" spans="1:11" s="4" customFormat="1" x14ac:dyDescent="0.35">
      <c r="A48" s="4" t="s">
        <v>8</v>
      </c>
      <c r="B48">
        <v>2506</v>
      </c>
      <c r="C48">
        <v>2265</v>
      </c>
      <c r="D48">
        <v>2647</v>
      </c>
      <c r="E48">
        <v>2737</v>
      </c>
      <c r="F48">
        <v>2848</v>
      </c>
      <c r="G48">
        <v>2625</v>
      </c>
      <c r="H48">
        <v>2816</v>
      </c>
      <c r="I48">
        <v>2854</v>
      </c>
      <c r="J48">
        <v>2563</v>
      </c>
      <c r="K48">
        <v>2288</v>
      </c>
    </row>
    <row r="49" spans="1:11" s="4" customFormat="1" x14ac:dyDescent="0.35">
      <c r="A49" s="4" t="s">
        <v>9</v>
      </c>
      <c r="B49">
        <v>6106</v>
      </c>
      <c r="C49">
        <v>7969</v>
      </c>
      <c r="D49">
        <v>6368</v>
      </c>
      <c r="E49">
        <v>6506</v>
      </c>
      <c r="F49">
        <v>6806</v>
      </c>
      <c r="G49">
        <v>7033</v>
      </c>
      <c r="H49">
        <v>6921</v>
      </c>
      <c r="I49">
        <v>7364</v>
      </c>
      <c r="J49">
        <v>6654</v>
      </c>
      <c r="K49">
        <v>8501</v>
      </c>
    </row>
    <row r="50" spans="1:11" x14ac:dyDescent="0.35">
      <c r="A50" s="4" t="s">
        <v>3</v>
      </c>
      <c r="B50">
        <v>9137</v>
      </c>
      <c r="C50">
        <v>8784</v>
      </c>
      <c r="D50">
        <v>9437</v>
      </c>
      <c r="E50">
        <v>9809</v>
      </c>
      <c r="F50">
        <v>10115</v>
      </c>
      <c r="G50">
        <v>9874</v>
      </c>
      <c r="H50">
        <v>9943</v>
      </c>
      <c r="I50">
        <v>10535</v>
      </c>
      <c r="J50">
        <v>10634</v>
      </c>
      <c r="K50">
        <v>11167</v>
      </c>
    </row>
    <row r="51" spans="1:11" x14ac:dyDescent="0.35">
      <c r="A51" s="4"/>
    </row>
    <row r="52" spans="1:11" x14ac:dyDescent="0.35">
      <c r="A52" s="4"/>
    </row>
    <row r="53" spans="1:11" x14ac:dyDescent="0.35">
      <c r="A53" s="4"/>
    </row>
    <row r="54" spans="1:11" x14ac:dyDescent="0.35">
      <c r="A54" s="4"/>
    </row>
    <row r="55" spans="1:11" x14ac:dyDescent="0.35">
      <c r="A55" s="1" t="s">
        <v>25</v>
      </c>
    </row>
    <row r="56" spans="1:11" s="7" customFormat="1" x14ac:dyDescent="0.35">
      <c r="A56" s="6" t="s">
        <v>23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35">
      <c r="A57" s="4" t="s">
        <v>10</v>
      </c>
      <c r="B57">
        <v>1144</v>
      </c>
      <c r="C57">
        <v>1088</v>
      </c>
      <c r="D57">
        <v>2170</v>
      </c>
      <c r="E57">
        <v>2122</v>
      </c>
      <c r="F57">
        <v>2124</v>
      </c>
      <c r="G57">
        <v>2098</v>
      </c>
      <c r="H57">
        <v>2069</v>
      </c>
      <c r="I57">
        <v>2071</v>
      </c>
      <c r="J57">
        <v>2073</v>
      </c>
      <c r="K57">
        <v>2024</v>
      </c>
    </row>
    <row r="58" spans="1:11" x14ac:dyDescent="0.35">
      <c r="A58" s="4" t="s">
        <v>11</v>
      </c>
      <c r="B58">
        <v>67838</v>
      </c>
      <c r="C58">
        <v>63835</v>
      </c>
      <c r="D58">
        <v>62778</v>
      </c>
      <c r="E58">
        <v>63328</v>
      </c>
      <c r="F58">
        <v>74227</v>
      </c>
      <c r="G58">
        <v>73252</v>
      </c>
      <c r="H58">
        <v>73338</v>
      </c>
      <c r="I58">
        <v>86045</v>
      </c>
      <c r="J58">
        <v>93745</v>
      </c>
      <c r="K58">
        <v>90828</v>
      </c>
    </row>
    <row r="59" spans="1:11" x14ac:dyDescent="0.35">
      <c r="A59" s="4" t="s">
        <v>35</v>
      </c>
      <c r="B59"/>
      <c r="C59"/>
      <c r="D59"/>
      <c r="E59">
        <v>4633</v>
      </c>
      <c r="F59">
        <v>5325</v>
      </c>
      <c r="G59">
        <v>5474</v>
      </c>
      <c r="H59">
        <v>8299</v>
      </c>
      <c r="I59">
        <v>8359</v>
      </c>
      <c r="J59">
        <v>8227</v>
      </c>
      <c r="K59">
        <v>9176</v>
      </c>
    </row>
    <row r="60" spans="1:11" x14ac:dyDescent="0.35">
      <c r="A60" s="4" t="s">
        <v>36</v>
      </c>
      <c r="B60">
        <v>14166</v>
      </c>
      <c r="C60">
        <v>14426</v>
      </c>
      <c r="D60">
        <v>19118</v>
      </c>
      <c r="E60">
        <v>21717</v>
      </c>
      <c r="F60">
        <v>25835</v>
      </c>
      <c r="G60">
        <v>35905</v>
      </c>
      <c r="H60">
        <v>40890</v>
      </c>
      <c r="I60">
        <v>39545</v>
      </c>
      <c r="J60">
        <v>43750</v>
      </c>
      <c r="K60">
        <v>52260</v>
      </c>
    </row>
    <row r="61" spans="1:11" s="1" customFormat="1" x14ac:dyDescent="0.35">
      <c r="A61" s="1" t="s">
        <v>12</v>
      </c>
      <c r="B61">
        <v>83148</v>
      </c>
      <c r="C61">
        <v>79349</v>
      </c>
      <c r="D61">
        <v>84066</v>
      </c>
      <c r="E61">
        <v>91800</v>
      </c>
      <c r="F61">
        <v>107511</v>
      </c>
      <c r="G61">
        <v>116729</v>
      </c>
      <c r="H61">
        <v>124596</v>
      </c>
      <c r="I61">
        <v>136020</v>
      </c>
      <c r="J61">
        <v>147795</v>
      </c>
      <c r="K61">
        <v>154288</v>
      </c>
    </row>
    <row r="62" spans="1:11" x14ac:dyDescent="0.35">
      <c r="A62" s="4" t="s">
        <v>13</v>
      </c>
      <c r="B62">
        <v>14179</v>
      </c>
      <c r="C62">
        <v>12574</v>
      </c>
      <c r="D62">
        <v>15710</v>
      </c>
      <c r="E62">
        <v>23789</v>
      </c>
      <c r="F62">
        <v>25505</v>
      </c>
      <c r="G62">
        <v>25800</v>
      </c>
      <c r="H62">
        <v>29225</v>
      </c>
      <c r="I62">
        <v>27622</v>
      </c>
      <c r="J62">
        <v>30961</v>
      </c>
      <c r="K62">
        <v>33770</v>
      </c>
    </row>
    <row r="63" spans="1:11" x14ac:dyDescent="0.35">
      <c r="A63" s="4" t="s">
        <v>14</v>
      </c>
      <c r="B63">
        <v>1365</v>
      </c>
      <c r="C63">
        <v>1606</v>
      </c>
      <c r="D63">
        <v>1388</v>
      </c>
      <c r="E63">
        <v>954</v>
      </c>
      <c r="F63">
        <v>922</v>
      </c>
      <c r="G63">
        <v>416</v>
      </c>
      <c r="H63">
        <v>288</v>
      </c>
      <c r="I63">
        <v>293</v>
      </c>
      <c r="J63">
        <v>814</v>
      </c>
      <c r="K63">
        <v>526</v>
      </c>
    </row>
    <row r="64" spans="1:11" x14ac:dyDescent="0.35">
      <c r="A64" s="4" t="s">
        <v>15</v>
      </c>
      <c r="B64">
        <v>16423</v>
      </c>
      <c r="C64">
        <v>12163</v>
      </c>
      <c r="D64">
        <v>11261</v>
      </c>
      <c r="E64">
        <v>8792</v>
      </c>
      <c r="F64">
        <v>14205</v>
      </c>
      <c r="G64">
        <v>20324</v>
      </c>
      <c r="H64">
        <v>19478</v>
      </c>
      <c r="I64">
        <v>24623</v>
      </c>
      <c r="J64">
        <v>23541</v>
      </c>
      <c r="K64">
        <v>21880</v>
      </c>
    </row>
    <row r="65" spans="1:11" x14ac:dyDescent="0.35">
      <c r="A65" s="4" t="s">
        <v>37</v>
      </c>
      <c r="B65">
        <v>51181</v>
      </c>
      <c r="C65">
        <v>53006</v>
      </c>
      <c r="D65">
        <v>55707</v>
      </c>
      <c r="E65">
        <v>58265</v>
      </c>
      <c r="F65">
        <v>66879</v>
      </c>
      <c r="G65">
        <v>70189</v>
      </c>
      <c r="H65">
        <v>75605</v>
      </c>
      <c r="I65">
        <v>83482</v>
      </c>
      <c r="J65">
        <v>92479</v>
      </c>
      <c r="K65">
        <v>98112</v>
      </c>
    </row>
    <row r="66" spans="1:11" s="1" customFormat="1" x14ac:dyDescent="0.35">
      <c r="A66" s="1" t="s">
        <v>12</v>
      </c>
      <c r="B66">
        <v>83148</v>
      </c>
      <c r="C66">
        <v>79349</v>
      </c>
      <c r="D66">
        <v>84066</v>
      </c>
      <c r="E66">
        <v>91800</v>
      </c>
      <c r="F66">
        <v>107511</v>
      </c>
      <c r="G66">
        <v>116729</v>
      </c>
      <c r="H66">
        <v>124596</v>
      </c>
      <c r="I66">
        <v>136020</v>
      </c>
      <c r="J66">
        <v>147795</v>
      </c>
      <c r="K66">
        <v>154288</v>
      </c>
    </row>
    <row r="67" spans="1:11" s="4" customFormat="1" x14ac:dyDescent="0.35">
      <c r="A67" s="4" t="s">
        <v>42</v>
      </c>
      <c r="B67">
        <v>12322</v>
      </c>
      <c r="C67">
        <v>13142</v>
      </c>
      <c r="D67">
        <v>14827</v>
      </c>
      <c r="E67">
        <v>18487</v>
      </c>
      <c r="F67">
        <v>19294</v>
      </c>
      <c r="G67">
        <v>22698</v>
      </c>
      <c r="H67">
        <v>25424</v>
      </c>
      <c r="I67">
        <v>30193</v>
      </c>
      <c r="J67">
        <v>31158</v>
      </c>
      <c r="K67">
        <v>35234</v>
      </c>
    </row>
    <row r="68" spans="1:11" x14ac:dyDescent="0.35">
      <c r="A68" s="4" t="s">
        <v>29</v>
      </c>
      <c r="B68"/>
      <c r="C68"/>
      <c r="D68"/>
      <c r="E68"/>
      <c r="F68"/>
      <c r="G68"/>
      <c r="H68"/>
      <c r="I68"/>
      <c r="J68"/>
      <c r="K68"/>
    </row>
    <row r="69" spans="1:11" x14ac:dyDescent="0.35">
      <c r="A69" s="3" t="s">
        <v>51</v>
      </c>
      <c r="B69">
        <v>22625</v>
      </c>
      <c r="C69">
        <v>19818</v>
      </c>
      <c r="D69">
        <v>19568</v>
      </c>
      <c r="E69">
        <v>18649</v>
      </c>
      <c r="F69">
        <v>24714</v>
      </c>
      <c r="G69">
        <v>17472</v>
      </c>
      <c r="H69">
        <v>12173</v>
      </c>
      <c r="I69">
        <v>14786</v>
      </c>
      <c r="J69">
        <v>24455</v>
      </c>
      <c r="K69">
        <v>22201</v>
      </c>
    </row>
    <row r="70" spans="1:11" x14ac:dyDescent="0.35">
      <c r="A70" s="3" t="s">
        <v>38</v>
      </c>
      <c r="B70">
        <v>2285655150</v>
      </c>
      <c r="C70">
        <v>2173312301</v>
      </c>
      <c r="D70">
        <v>4335954462</v>
      </c>
      <c r="E70">
        <v>4240753210</v>
      </c>
      <c r="F70">
        <v>4245146114</v>
      </c>
      <c r="G70">
        <v>4193012929</v>
      </c>
      <c r="H70">
        <v>4136387925</v>
      </c>
      <c r="I70">
        <v>4139950635</v>
      </c>
      <c r="J70">
        <v>4143607528</v>
      </c>
      <c r="K70">
        <v>4046940812</v>
      </c>
    </row>
    <row r="71" spans="1:11" x14ac:dyDescent="0.35">
      <c r="A71" s="3" t="s">
        <v>39</v>
      </c>
      <c r="D71">
        <v>2184191490</v>
      </c>
    </row>
    <row r="72" spans="1:11" x14ac:dyDescent="0.35">
      <c r="A72" s="3" t="s">
        <v>52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35">
      <c r="A74" s="4"/>
    </row>
    <row r="75" spans="1:11" x14ac:dyDescent="0.35">
      <c r="A75" s="4"/>
    </row>
    <row r="76" spans="1:11" x14ac:dyDescent="0.35">
      <c r="A76" s="4"/>
    </row>
    <row r="77" spans="1:11" x14ac:dyDescent="0.35">
      <c r="A77" s="4"/>
    </row>
    <row r="78" spans="1:11" x14ac:dyDescent="0.35">
      <c r="A78" s="4"/>
    </row>
    <row r="79" spans="1:11" x14ac:dyDescent="0.35">
      <c r="A79" s="4"/>
    </row>
    <row r="80" spans="1:11" x14ac:dyDescent="0.35">
      <c r="A80" s="1" t="s">
        <v>26</v>
      </c>
    </row>
    <row r="81" spans="1:11" s="7" customFormat="1" x14ac:dyDescent="0.35">
      <c r="A81" s="6" t="s">
        <v>23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1" customFormat="1" x14ac:dyDescent="0.35">
      <c r="A82" s="4" t="s">
        <v>17</v>
      </c>
      <c r="B82">
        <v>11531</v>
      </c>
      <c r="C82">
        <v>13218</v>
      </c>
      <c r="D82">
        <v>14841</v>
      </c>
      <c r="E82">
        <v>17003</v>
      </c>
      <c r="F82">
        <v>23224</v>
      </c>
      <c r="G82">
        <v>23885</v>
      </c>
      <c r="H82">
        <v>22467</v>
      </c>
      <c r="I82">
        <v>25210</v>
      </c>
      <c r="J82">
        <v>35694</v>
      </c>
      <c r="K82">
        <v>33986</v>
      </c>
    </row>
    <row r="83" spans="1:11" s="4" customFormat="1" x14ac:dyDescent="0.35">
      <c r="A83" s="4" t="s">
        <v>18</v>
      </c>
      <c r="B83">
        <v>-14664</v>
      </c>
      <c r="C83">
        <v>4533</v>
      </c>
      <c r="D83">
        <v>-632</v>
      </c>
      <c r="E83">
        <v>-331</v>
      </c>
      <c r="F83">
        <v>-7373</v>
      </c>
      <c r="G83">
        <v>-6485</v>
      </c>
      <c r="H83">
        <v>-1071</v>
      </c>
      <c r="I83">
        <v>-5093</v>
      </c>
      <c r="J83">
        <v>-1864</v>
      </c>
      <c r="K83">
        <v>3546</v>
      </c>
    </row>
    <row r="84" spans="1:11" s="4" customFormat="1" x14ac:dyDescent="0.35">
      <c r="A84" s="4" t="s">
        <v>19</v>
      </c>
      <c r="B84">
        <v>-6939</v>
      </c>
      <c r="C84">
        <v>-20505</v>
      </c>
      <c r="D84">
        <v>-14512</v>
      </c>
      <c r="E84">
        <v>-17591</v>
      </c>
      <c r="F84">
        <v>-9786</v>
      </c>
      <c r="G84">
        <v>-24642</v>
      </c>
      <c r="H84">
        <v>-26695</v>
      </c>
      <c r="I84">
        <v>-17504</v>
      </c>
      <c r="J84">
        <v>-24161</v>
      </c>
      <c r="K84">
        <v>-39786</v>
      </c>
    </row>
    <row r="85" spans="1:11" s="1" customFormat="1" x14ac:dyDescent="0.35">
      <c r="A85" s="4" t="s">
        <v>20</v>
      </c>
      <c r="B85">
        <v>-10072</v>
      </c>
      <c r="C85">
        <v>-2754</v>
      </c>
      <c r="D85">
        <v>-303</v>
      </c>
      <c r="E85">
        <v>-919</v>
      </c>
      <c r="F85">
        <v>6065</v>
      </c>
      <c r="G85">
        <v>-7242</v>
      </c>
      <c r="H85">
        <v>-5299</v>
      </c>
      <c r="I85">
        <v>2613</v>
      </c>
      <c r="J85">
        <v>9669</v>
      </c>
      <c r="K85">
        <v>-2254</v>
      </c>
    </row>
    <row r="86" spans="1:11" x14ac:dyDescent="0.35">
      <c r="A86" s="4"/>
    </row>
    <row r="87" spans="1:11" x14ac:dyDescent="0.35">
      <c r="A87" s="4"/>
    </row>
    <row r="88" spans="1:11" x14ac:dyDescent="0.35">
      <c r="A88" s="4"/>
    </row>
    <row r="89" spans="1:11" x14ac:dyDescent="0.35">
      <c r="A89" s="4"/>
    </row>
    <row r="90" spans="1:11" s="1" customFormat="1" x14ac:dyDescent="0.35">
      <c r="A90" s="1" t="s">
        <v>41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1250.5999999999999</v>
      </c>
    </row>
    <row r="92" spans="1:11" s="1" customFormat="1" x14ac:dyDescent="0.35">
      <c r="A92" s="1" t="s">
        <v>40</v>
      </c>
    </row>
    <row r="93" spans="1:11" x14ac:dyDescent="0.35">
      <c r="A93" s="3" t="s">
        <v>53</v>
      </c>
      <c r="B93" s="8">
        <v>459.39</v>
      </c>
      <c r="C93" s="8">
        <v>436.82</v>
      </c>
      <c r="D93" s="8">
        <v>436.89</v>
      </c>
      <c r="E93" s="8">
        <v>425.9</v>
      </c>
      <c r="F93" s="8">
        <v>426.07</v>
      </c>
      <c r="G93" s="8">
        <v>420.67</v>
      </c>
      <c r="H93" s="8">
        <v>414.86</v>
      </c>
      <c r="I93" s="8">
        <v>415.09</v>
      </c>
      <c r="J93" s="8">
        <v>415.33</v>
      </c>
      <c r="K93" s="8">
        <v>405.56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21E3-A930-4CE4-85CE-32A27A1120E4}">
  <dimension ref="B2:N34"/>
  <sheetViews>
    <sheetView topLeftCell="A12" workbookViewId="0">
      <selection activeCell="A24" sqref="A24:XFD24"/>
    </sheetView>
  </sheetViews>
  <sheetFormatPr defaultRowHeight="14.5" x14ac:dyDescent="0.35"/>
  <cols>
    <col min="2" max="2" width="26" bestFit="1" customWidth="1"/>
    <col min="3" max="14" width="6.90625" bestFit="1" customWidth="1"/>
  </cols>
  <sheetData>
    <row r="2" spans="2:14" x14ac:dyDescent="0.35">
      <c r="B2" s="24"/>
      <c r="C2" s="24">
        <v>42064</v>
      </c>
      <c r="D2" s="24">
        <v>42430</v>
      </c>
      <c r="E2" s="24">
        <v>42795</v>
      </c>
      <c r="F2" s="24">
        <v>43160</v>
      </c>
      <c r="G2" s="24">
        <v>43525</v>
      </c>
      <c r="H2" s="24">
        <v>43891</v>
      </c>
      <c r="I2" s="24">
        <v>44256</v>
      </c>
      <c r="J2" s="24">
        <v>44621</v>
      </c>
      <c r="K2" s="24">
        <v>44986</v>
      </c>
      <c r="L2" s="24">
        <v>45352</v>
      </c>
      <c r="M2" s="24">
        <v>45717</v>
      </c>
      <c r="N2" s="24">
        <v>46082</v>
      </c>
    </row>
    <row r="3" spans="2:14" x14ac:dyDescent="0.35">
      <c r="B3" t="s">
        <v>116</v>
      </c>
      <c r="C3" s="25">
        <v>8353</v>
      </c>
      <c r="D3" s="25">
        <v>10028</v>
      </c>
      <c r="E3" s="25">
        <v>11531</v>
      </c>
      <c r="F3" s="25">
        <v>13218</v>
      </c>
      <c r="G3" s="25">
        <v>14841</v>
      </c>
      <c r="H3" s="25">
        <v>17003</v>
      </c>
      <c r="I3" s="25">
        <v>23224</v>
      </c>
      <c r="J3" s="25">
        <v>23885</v>
      </c>
      <c r="K3" s="25">
        <v>22467</v>
      </c>
      <c r="L3" s="25">
        <v>25210</v>
      </c>
      <c r="M3" s="25">
        <v>35694</v>
      </c>
      <c r="N3" s="25">
        <v>33986</v>
      </c>
    </row>
    <row r="4" spans="2:14" x14ac:dyDescent="0.35">
      <c r="B4" t="s">
        <v>90</v>
      </c>
      <c r="C4" s="25">
        <v>15946</v>
      </c>
      <c r="D4" s="25">
        <v>17839</v>
      </c>
      <c r="E4" s="25">
        <v>19340</v>
      </c>
      <c r="F4" s="25">
        <v>19963</v>
      </c>
      <c r="G4" s="25">
        <v>22126</v>
      </c>
      <c r="H4" s="25">
        <v>23920</v>
      </c>
      <c r="I4" s="25">
        <v>28845</v>
      </c>
      <c r="J4" s="25">
        <v>32921</v>
      </c>
      <c r="K4" s="25">
        <v>37605</v>
      </c>
      <c r="L4" s="25">
        <v>39523</v>
      </c>
      <c r="M4" s="25">
        <v>41591</v>
      </c>
      <c r="N4" s="25">
        <v>45273</v>
      </c>
    </row>
    <row r="5" spans="2:14" x14ac:dyDescent="0.35">
      <c r="B5" t="s">
        <v>42</v>
      </c>
      <c r="C5" s="25">
        <v>-1475</v>
      </c>
      <c r="D5" s="25">
        <v>-1654</v>
      </c>
      <c r="E5" s="25">
        <v>-1743</v>
      </c>
      <c r="F5" s="25">
        <v>-1523</v>
      </c>
      <c r="G5" s="25">
        <v>-2881</v>
      </c>
      <c r="H5" s="25">
        <v>-3861</v>
      </c>
      <c r="I5" s="25">
        <v>-1835</v>
      </c>
      <c r="J5" s="25">
        <v>-7937</v>
      </c>
      <c r="K5" s="25">
        <v>-7076</v>
      </c>
      <c r="L5" s="25">
        <v>-2667</v>
      </c>
      <c r="M5" s="25">
        <v>-1769</v>
      </c>
      <c r="N5" s="25">
        <v>-5177</v>
      </c>
    </row>
    <row r="6" spans="2:14" x14ac:dyDescent="0.35">
      <c r="B6" t="s">
        <v>91</v>
      </c>
      <c r="C6">
        <v>0</v>
      </c>
      <c r="D6">
        <v>242</v>
      </c>
      <c r="E6">
        <v>-19</v>
      </c>
      <c r="F6">
        <v>328</v>
      </c>
      <c r="G6">
        <v>916</v>
      </c>
      <c r="H6">
        <v>-373</v>
      </c>
      <c r="I6">
        <v>-245</v>
      </c>
      <c r="J6" s="25">
        <v>1489</v>
      </c>
      <c r="K6">
        <v>-279</v>
      </c>
      <c r="L6">
        <v>91</v>
      </c>
      <c r="M6">
        <v>176</v>
      </c>
      <c r="N6">
        <v>-26</v>
      </c>
    </row>
    <row r="7" spans="2:14" x14ac:dyDescent="0.35">
      <c r="B7" t="s">
        <v>92</v>
      </c>
      <c r="C7">
        <v>-221</v>
      </c>
      <c r="D7" s="25">
        <v>-1134</v>
      </c>
      <c r="E7">
        <v>0</v>
      </c>
      <c r="F7">
        <v>0</v>
      </c>
      <c r="G7">
        <v>0</v>
      </c>
      <c r="H7">
        <v>0</v>
      </c>
      <c r="I7">
        <v>-534</v>
      </c>
      <c r="J7" s="25">
        <v>-1914</v>
      </c>
      <c r="K7" s="25">
        <v>-3108</v>
      </c>
      <c r="L7" s="25">
        <v>-1172</v>
      </c>
      <c r="M7" s="25">
        <v>-1024</v>
      </c>
      <c r="N7" s="25">
        <v>-2645</v>
      </c>
    </row>
    <row r="8" spans="2:14" x14ac:dyDescent="0.35">
      <c r="B8" t="s">
        <v>93</v>
      </c>
      <c r="C8">
        <v>854</v>
      </c>
      <c r="D8">
        <v>600</v>
      </c>
      <c r="E8">
        <v>-394</v>
      </c>
      <c r="F8" s="25">
        <v>1279</v>
      </c>
      <c r="G8" s="25">
        <v>1512</v>
      </c>
      <c r="H8" s="25">
        <v>1867</v>
      </c>
      <c r="I8" s="25">
        <v>3382</v>
      </c>
      <c r="J8" s="25">
        <v>6938</v>
      </c>
      <c r="K8" s="25">
        <v>4119</v>
      </c>
      <c r="L8" s="25">
        <v>-1334</v>
      </c>
      <c r="M8" s="25">
        <v>2322</v>
      </c>
      <c r="N8" s="25">
        <v>5209</v>
      </c>
    </row>
    <row r="9" spans="2:14" x14ac:dyDescent="0.35">
      <c r="B9" t="s">
        <v>94</v>
      </c>
      <c r="C9">
        <v>-842</v>
      </c>
      <c r="D9" s="25">
        <v>-1946</v>
      </c>
      <c r="E9" s="25">
        <v>-2156</v>
      </c>
      <c r="F9">
        <v>84</v>
      </c>
      <c r="G9">
        <v>-453</v>
      </c>
      <c r="H9" s="25">
        <v>-2367</v>
      </c>
      <c r="I9">
        <v>768</v>
      </c>
      <c r="J9" s="25">
        <v>-1424</v>
      </c>
      <c r="K9" s="25">
        <v>-6344</v>
      </c>
      <c r="L9" s="25">
        <v>-5082</v>
      </c>
      <c r="M9">
        <v>-295</v>
      </c>
      <c r="N9" s="25">
        <v>-2639</v>
      </c>
    </row>
    <row r="10" spans="2:14" x14ac:dyDescent="0.35">
      <c r="B10" t="s">
        <v>95</v>
      </c>
      <c r="C10" s="25">
        <v>-6751</v>
      </c>
      <c r="D10" s="25">
        <v>-5865</v>
      </c>
      <c r="E10" s="25">
        <v>-5653</v>
      </c>
      <c r="F10" s="25">
        <v>-6829</v>
      </c>
      <c r="G10" s="25">
        <v>-6832</v>
      </c>
      <c r="H10" s="25">
        <v>-4550</v>
      </c>
      <c r="I10" s="25">
        <v>-6389</v>
      </c>
      <c r="J10" s="25">
        <v>-7612</v>
      </c>
      <c r="K10" s="25">
        <v>-8794</v>
      </c>
      <c r="L10" s="25">
        <v>-9231</v>
      </c>
      <c r="M10" s="25">
        <v>-5602</v>
      </c>
      <c r="N10" s="25">
        <v>-8648</v>
      </c>
    </row>
    <row r="11" spans="2:14" x14ac:dyDescent="0.35">
      <c r="B11" t="s">
        <v>117</v>
      </c>
      <c r="C11">
        <v>999</v>
      </c>
      <c r="D11">
        <v>-885</v>
      </c>
      <c r="E11" s="25">
        <v>-14664</v>
      </c>
      <c r="F11" s="25">
        <v>4533</v>
      </c>
      <c r="G11">
        <v>-632</v>
      </c>
      <c r="H11">
        <v>-331</v>
      </c>
      <c r="I11" s="25">
        <v>-7373</v>
      </c>
      <c r="J11" s="25">
        <v>-6485</v>
      </c>
      <c r="K11" s="25">
        <v>-1071</v>
      </c>
      <c r="L11" s="25">
        <v>-5093</v>
      </c>
      <c r="M11" s="25">
        <v>-1864</v>
      </c>
      <c r="N11" s="25">
        <v>3546</v>
      </c>
    </row>
    <row r="12" spans="2:14" x14ac:dyDescent="0.35">
      <c r="B12" t="s">
        <v>97</v>
      </c>
      <c r="C12" s="25">
        <v>-2247</v>
      </c>
      <c r="D12" s="25">
        <v>-2723</v>
      </c>
      <c r="E12" s="25">
        <v>-2760</v>
      </c>
      <c r="F12" s="25">
        <v>-1998</v>
      </c>
      <c r="G12" s="25">
        <v>-2445</v>
      </c>
      <c r="H12" s="25">
        <v>-3307</v>
      </c>
      <c r="I12" s="25">
        <v>-2107</v>
      </c>
      <c r="J12" s="25">
        <v>-2161</v>
      </c>
      <c r="K12" s="25">
        <v>-2579</v>
      </c>
      <c r="L12" s="25">
        <v>-2201</v>
      </c>
      <c r="M12" s="25">
        <v>-2237</v>
      </c>
      <c r="N12" s="25">
        <v>-2727</v>
      </c>
    </row>
    <row r="13" spans="2:14" x14ac:dyDescent="0.35">
      <c r="B13" t="s">
        <v>99</v>
      </c>
      <c r="C13" s="25">
        <v>-23923</v>
      </c>
      <c r="D13" s="25">
        <v>-24577</v>
      </c>
      <c r="E13" s="25">
        <v>-66410</v>
      </c>
      <c r="F13" s="25">
        <v>-69159</v>
      </c>
      <c r="G13" s="25">
        <v>-79410</v>
      </c>
      <c r="H13" s="25">
        <v>-37482</v>
      </c>
      <c r="I13" s="25">
        <v>-46738</v>
      </c>
      <c r="J13" s="25">
        <v>-59951</v>
      </c>
      <c r="K13" s="25">
        <v>-75800</v>
      </c>
      <c r="L13" s="25">
        <v>-78092</v>
      </c>
      <c r="M13" s="25">
        <v>-82742</v>
      </c>
      <c r="N13" s="25">
        <v>-82617</v>
      </c>
    </row>
    <row r="14" spans="2:14" x14ac:dyDescent="0.35">
      <c r="B14" t="s">
        <v>100</v>
      </c>
      <c r="C14" s="25">
        <v>25253</v>
      </c>
      <c r="D14" s="25">
        <v>24980</v>
      </c>
      <c r="E14" s="25">
        <v>52048</v>
      </c>
      <c r="F14" s="25">
        <v>74003</v>
      </c>
      <c r="G14" s="25">
        <v>78098</v>
      </c>
      <c r="H14" s="25">
        <v>38861</v>
      </c>
      <c r="I14" s="25">
        <v>40381</v>
      </c>
      <c r="J14" s="25">
        <v>57356</v>
      </c>
      <c r="K14" s="25">
        <v>76722</v>
      </c>
      <c r="L14" s="25">
        <v>72930</v>
      </c>
      <c r="M14" s="25">
        <v>84877</v>
      </c>
      <c r="N14" s="25">
        <v>89699</v>
      </c>
    </row>
    <row r="15" spans="2:14" x14ac:dyDescent="0.35">
      <c r="B15" t="s">
        <v>101</v>
      </c>
      <c r="C15" s="25">
        <v>2551</v>
      </c>
      <c r="D15" s="25">
        <v>2383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2:14" x14ac:dyDescent="0.35">
      <c r="B16" t="s">
        <v>102</v>
      </c>
      <c r="C16">
        <v>0</v>
      </c>
      <c r="D16">
        <v>0</v>
      </c>
      <c r="E16" s="25">
        <v>2753</v>
      </c>
      <c r="F16" s="25">
        <v>1768</v>
      </c>
      <c r="G16" s="25">
        <v>1557</v>
      </c>
      <c r="H16" s="25">
        <v>1929</v>
      </c>
      <c r="I16" s="25">
        <v>1418</v>
      </c>
      <c r="J16" s="25">
        <v>1898</v>
      </c>
      <c r="K16" s="25">
        <v>1525</v>
      </c>
      <c r="L16" s="25">
        <v>1768</v>
      </c>
      <c r="M16" s="25">
        <v>2040</v>
      </c>
      <c r="N16" s="25">
        <v>2713</v>
      </c>
    </row>
    <row r="17" spans="2:14" x14ac:dyDescent="0.35">
      <c r="B17" t="s">
        <v>103</v>
      </c>
      <c r="C17" s="25">
        <v>-1376</v>
      </c>
      <c r="D17">
        <v>-747</v>
      </c>
      <c r="E17">
        <v>0</v>
      </c>
      <c r="F17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</row>
    <row r="18" spans="2:14" x14ac:dyDescent="0.35">
      <c r="B18" t="s">
        <v>126</v>
      </c>
      <c r="C18">
        <v>0</v>
      </c>
      <c r="D18">
        <v>-142</v>
      </c>
      <c r="E18">
        <v>-164</v>
      </c>
      <c r="F18">
        <v>-130</v>
      </c>
      <c r="G18">
        <v>-24</v>
      </c>
      <c r="H18">
        <v>-108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2:14" x14ac:dyDescent="0.35">
      <c r="B19" t="s">
        <v>104</v>
      </c>
      <c r="C19">
        <v>741</v>
      </c>
      <c r="D19">
        <v>-59</v>
      </c>
      <c r="E19">
        <v>-131</v>
      </c>
      <c r="F19">
        <v>49</v>
      </c>
      <c r="G19" s="25">
        <v>1592</v>
      </c>
      <c r="H19">
        <v>-224</v>
      </c>
      <c r="I19">
        <v>-327</v>
      </c>
      <c r="J19" s="25">
        <v>-3627</v>
      </c>
      <c r="K19">
        <v>-939</v>
      </c>
      <c r="L19">
        <v>502</v>
      </c>
      <c r="M19" s="25">
        <v>-3802</v>
      </c>
      <c r="N19" s="25">
        <v>-3522</v>
      </c>
    </row>
    <row r="20" spans="2:14" x14ac:dyDescent="0.35">
      <c r="B20" t="s">
        <v>118</v>
      </c>
      <c r="C20" s="25">
        <v>-4935</v>
      </c>
      <c r="D20" s="25">
        <v>-6813</v>
      </c>
      <c r="E20" s="25">
        <v>-6939</v>
      </c>
      <c r="F20" s="25">
        <v>-20505</v>
      </c>
      <c r="G20" s="25">
        <v>-14512</v>
      </c>
      <c r="H20" s="25">
        <v>-17591</v>
      </c>
      <c r="I20" s="25">
        <v>-9786</v>
      </c>
      <c r="J20" s="25">
        <v>-24642</v>
      </c>
      <c r="K20" s="25">
        <v>-26695</v>
      </c>
      <c r="L20" s="25">
        <v>-17504</v>
      </c>
      <c r="M20" s="25">
        <v>-24161</v>
      </c>
      <c r="N20" s="25">
        <v>-39786</v>
      </c>
    </row>
    <row r="21" spans="2:14" x14ac:dyDescent="0.35">
      <c r="B21" t="s">
        <v>105</v>
      </c>
      <c r="C21">
        <v>0</v>
      </c>
      <c r="D21">
        <v>0</v>
      </c>
      <c r="E21">
        <v>0</v>
      </c>
      <c r="F21">
        <v>5</v>
      </c>
      <c r="G21">
        <v>6</v>
      </c>
      <c r="H21">
        <v>6</v>
      </c>
      <c r="I21">
        <v>15</v>
      </c>
      <c r="J21">
        <v>21</v>
      </c>
      <c r="K21">
        <v>35</v>
      </c>
      <c r="L21">
        <v>5</v>
      </c>
      <c r="M21">
        <v>6</v>
      </c>
      <c r="N21">
        <v>2</v>
      </c>
    </row>
    <row r="22" spans="2:14" x14ac:dyDescent="0.35">
      <c r="B22" t="s">
        <v>107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-985</v>
      </c>
      <c r="N22">
        <v>0</v>
      </c>
    </row>
    <row r="23" spans="2:14" x14ac:dyDescent="0.35">
      <c r="B23" t="s">
        <v>110</v>
      </c>
      <c r="C23" s="25">
        <v>-4935</v>
      </c>
      <c r="D23" s="25">
        <v>-6813</v>
      </c>
      <c r="E23" s="25">
        <v>-6939</v>
      </c>
      <c r="F23" s="25">
        <v>-7464</v>
      </c>
      <c r="G23" s="25">
        <v>-13705</v>
      </c>
      <c r="H23" s="25">
        <v>-9548</v>
      </c>
      <c r="I23" s="25">
        <v>-9137</v>
      </c>
      <c r="J23" s="25">
        <v>-12731</v>
      </c>
      <c r="K23" s="25">
        <v>-13653</v>
      </c>
      <c r="L23" s="25">
        <v>-14731</v>
      </c>
      <c r="M23" s="25">
        <v>-20289</v>
      </c>
      <c r="N23" s="25">
        <v>-18656</v>
      </c>
    </row>
    <row r="24" spans="2:14" x14ac:dyDescent="0.35">
      <c r="B24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-571</v>
      </c>
      <c r="I24">
        <v>-698</v>
      </c>
      <c r="J24">
        <v>-915</v>
      </c>
      <c r="K24" s="25">
        <v>-1231</v>
      </c>
      <c r="L24" s="25">
        <v>-2024</v>
      </c>
      <c r="M24" s="25">
        <v>-2355</v>
      </c>
      <c r="N24" s="25">
        <v>-2824</v>
      </c>
    </row>
    <row r="25" spans="2:14" x14ac:dyDescent="0.35">
      <c r="B25" t="s">
        <v>113</v>
      </c>
      <c r="C25">
        <v>0</v>
      </c>
      <c r="D25">
        <v>0</v>
      </c>
      <c r="E25">
        <v>0</v>
      </c>
      <c r="F25" s="25">
        <v>-13046</v>
      </c>
      <c r="G25">
        <v>-813</v>
      </c>
      <c r="H25" s="25">
        <v>-7478</v>
      </c>
      <c r="I25">
        <v>34</v>
      </c>
      <c r="J25" s="25">
        <v>-11017</v>
      </c>
      <c r="K25" s="25">
        <v>-11846</v>
      </c>
      <c r="L25">
        <v>-754</v>
      </c>
      <c r="M25">
        <v>-538</v>
      </c>
      <c r="N25" s="25">
        <v>-18308</v>
      </c>
    </row>
    <row r="26" spans="2:14" x14ac:dyDescent="0.35">
      <c r="B26" t="s">
        <v>20</v>
      </c>
      <c r="C26" s="25">
        <v>4417</v>
      </c>
      <c r="D26" s="25">
        <v>2330</v>
      </c>
      <c r="E26" s="25">
        <v>-10072</v>
      </c>
      <c r="F26" s="25">
        <v>-2754</v>
      </c>
      <c r="G26">
        <v>-303</v>
      </c>
      <c r="H26">
        <v>-919</v>
      </c>
      <c r="I26" s="25">
        <v>6065</v>
      </c>
      <c r="J26" s="25">
        <v>-7242</v>
      </c>
      <c r="K26" s="25">
        <v>-5299</v>
      </c>
      <c r="L26" s="25">
        <v>2613</v>
      </c>
      <c r="M26" s="25">
        <v>9669</v>
      </c>
      <c r="N26" s="25">
        <v>-2254</v>
      </c>
    </row>
    <row r="27" spans="2:14" x14ac:dyDescent="0.35">
      <c r="B27" t="s">
        <v>114</v>
      </c>
      <c r="C27" s="25">
        <v>6106</v>
      </c>
      <c r="D27" s="25">
        <v>7305</v>
      </c>
      <c r="E27" s="25">
        <v>8771</v>
      </c>
      <c r="F27" s="25">
        <v>11220</v>
      </c>
      <c r="G27" s="25">
        <v>12396</v>
      </c>
      <c r="H27" s="25">
        <v>13696</v>
      </c>
      <c r="I27" s="25">
        <v>21117</v>
      </c>
      <c r="J27" s="25">
        <v>21724</v>
      </c>
      <c r="K27" s="25">
        <v>19888</v>
      </c>
      <c r="L27" s="25">
        <v>23009</v>
      </c>
      <c r="M27" s="25">
        <v>33457</v>
      </c>
      <c r="N27" s="25">
        <v>31259</v>
      </c>
    </row>
    <row r="28" spans="2:14" x14ac:dyDescent="0.35">
      <c r="B28" t="s">
        <v>115</v>
      </c>
      <c r="C28" s="26">
        <v>1.01</v>
      </c>
      <c r="D28" s="26">
        <v>0.93</v>
      </c>
      <c r="E28" s="26">
        <v>0.92</v>
      </c>
      <c r="F28" s="26">
        <v>1.07</v>
      </c>
      <c r="G28" s="26">
        <v>1.07</v>
      </c>
      <c r="H28" s="26">
        <v>0.97</v>
      </c>
      <c r="I28" s="26">
        <v>1.06</v>
      </c>
      <c r="J28" s="26">
        <v>1</v>
      </c>
      <c r="K28" s="26">
        <v>0.89</v>
      </c>
      <c r="L28" s="26">
        <v>0.95</v>
      </c>
      <c r="M28" s="26">
        <v>1.05</v>
      </c>
      <c r="N28" s="26">
        <v>1.01</v>
      </c>
    </row>
    <row r="34" spans="3:14" x14ac:dyDescent="0.35"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Financials&gt;</vt:lpstr>
      <vt:lpstr>HistoricalFS</vt:lpstr>
      <vt:lpstr>Data&gt;</vt:lpstr>
      <vt:lpstr>Data Sheet</vt:lpstr>
      <vt:lpstr>Cash Flow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dhibikunnel@gmail.com</cp:lastModifiedBy>
  <cp:lastPrinted>2026-07-18T18:55:47Z</cp:lastPrinted>
  <dcterms:created xsi:type="dcterms:W3CDTF">2012-08-17T09:55:37Z</dcterms:created>
  <dcterms:modified xsi:type="dcterms:W3CDTF">2026-07-19T11:00:51Z</dcterms:modified>
</cp:coreProperties>
</file>