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00770743D2BF1BE/Documents/"/>
    </mc:Choice>
  </mc:AlternateContent>
  <xr:revisionPtr revIDLastSave="779" documentId="8_{EE1B8A9A-3DA7-48E6-83FA-2D7F7191DC6E}" xr6:coauthVersionLast="47" xr6:coauthVersionMax="47" xr10:uidLastSave="{AFFE9CEA-0950-4BB8-81FD-29B515C97E01}"/>
  <bookViews>
    <workbookView xWindow="-110" yWindow="-110" windowWidth="19420" windowHeight="10420" activeTab="3" xr2:uid="{00000000-000D-0000-FFFF-FFFF00000000}"/>
  </bookViews>
  <sheets>
    <sheet name="Financials&gt;" sheetId="8" r:id="rId1"/>
    <sheet name="HistoricalFS" sheetId="7" r:id="rId2"/>
    <sheet name="Ratio Analysis" sheetId="11" r:id="rId3"/>
    <sheet name="Forecasting " sheetId="12" r:id="rId4"/>
    <sheet name="Data&gt;" sheetId="9" r:id="rId5"/>
    <sheet name="Data Sheet" sheetId="6" r:id="rId6"/>
    <sheet name="Cash Flow Data" sheetId="10" r:id="rId7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16" i="12" l="1"/>
  <c r="N17" i="12"/>
  <c r="N18" i="12"/>
  <c r="N19" i="12"/>
  <c r="N15" i="12"/>
  <c r="N5" i="12" a="1"/>
  <c r="N5" i="12" s="1"/>
  <c r="M5" i="12"/>
  <c r="L3" i="12"/>
  <c r="L6" i="12"/>
  <c r="L7" i="12" s="1"/>
  <c r="L8" i="12" s="1"/>
  <c r="L9" i="12" s="1"/>
  <c r="L10" i="12" s="1"/>
  <c r="L11" i="12" s="1"/>
  <c r="L12" i="12" s="1"/>
  <c r="L13" i="12" s="1"/>
  <c r="L14" i="12" s="1"/>
  <c r="L15" i="12" s="1"/>
  <c r="M6" i="12"/>
  <c r="M7" i="12" s="1"/>
  <c r="M8" i="12" s="1"/>
  <c r="M9" i="12" s="1"/>
  <c r="M10" i="12" s="1"/>
  <c r="M11" i="12" s="1"/>
  <c r="M12" i="12" s="1"/>
  <c r="M13" i="12" s="1"/>
  <c r="M14" i="12" s="1"/>
  <c r="M15" i="12" s="1"/>
  <c r="M16" i="12" s="1"/>
  <c r="M17" i="12" s="1"/>
  <c r="M18" i="12" s="1"/>
  <c r="M19" i="12" s="1"/>
  <c r="C5" i="12"/>
  <c r="G3" i="12"/>
  <c r="B3" i="12"/>
  <c r="I5" i="12" a="1"/>
  <c r="I5" i="12" s="1"/>
  <c r="H5" i="12"/>
  <c r="H6" i="12" s="1"/>
  <c r="H7" i="12" s="1"/>
  <c r="H8" i="12" s="1"/>
  <c r="H9" i="12" s="1"/>
  <c r="H10" i="12" s="1"/>
  <c r="H11" i="12" s="1"/>
  <c r="H12" i="12" s="1"/>
  <c r="H13" i="12" s="1"/>
  <c r="H14" i="12" s="1"/>
  <c r="H15" i="12" s="1"/>
  <c r="G6" i="12"/>
  <c r="G7" i="12" s="1"/>
  <c r="G8" i="12" s="1"/>
  <c r="G9" i="12" s="1"/>
  <c r="G10" i="12" s="1"/>
  <c r="G11" i="12" s="1"/>
  <c r="G12" i="12" s="1"/>
  <c r="G13" i="12" s="1"/>
  <c r="G14" i="12" s="1"/>
  <c r="G15" i="12" s="1"/>
  <c r="D5" i="12" a="1"/>
  <c r="D5" i="12" s="1"/>
  <c r="C6" i="12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C19" i="12" s="1"/>
  <c r="B6" i="12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P6" i="11"/>
  <c r="P7" i="11"/>
  <c r="P8" i="11"/>
  <c r="P9" i="11"/>
  <c r="P11" i="11"/>
  <c r="P12" i="11"/>
  <c r="P13" i="11"/>
  <c r="P14" i="11"/>
  <c r="P15" i="11"/>
  <c r="P17" i="11"/>
  <c r="P18" i="11"/>
  <c r="P19" i="11"/>
  <c r="P21" i="11"/>
  <c r="P22" i="11"/>
  <c r="P23" i="11"/>
  <c r="P24" i="11"/>
  <c r="P25" i="11"/>
  <c r="P27" i="11"/>
  <c r="P28" i="11"/>
  <c r="P29" i="11"/>
  <c r="P30" i="11"/>
  <c r="P31" i="11"/>
  <c r="P34" i="11"/>
  <c r="P35" i="11"/>
  <c r="P36" i="11"/>
  <c r="P37" i="11"/>
  <c r="P39" i="11"/>
  <c r="P40" i="11"/>
  <c r="P41" i="11"/>
  <c r="P5" i="11"/>
  <c r="O41" i="11"/>
  <c r="O40" i="11"/>
  <c r="O39" i="11"/>
  <c r="O37" i="11"/>
  <c r="O36" i="11"/>
  <c r="O35" i="11"/>
  <c r="O34" i="11"/>
  <c r="O31" i="11"/>
  <c r="O30" i="11"/>
  <c r="O29" i="11"/>
  <c r="O28" i="11"/>
  <c r="O27" i="11"/>
  <c r="O25" i="11"/>
  <c r="O24" i="11"/>
  <c r="O23" i="11"/>
  <c r="O22" i="11"/>
  <c r="O21" i="11"/>
  <c r="O19" i="11"/>
  <c r="O18" i="11"/>
  <c r="O17" i="11"/>
  <c r="O15" i="11"/>
  <c r="O14" i="11"/>
  <c r="O13" i="11"/>
  <c r="O12" i="11"/>
  <c r="O11" i="11"/>
  <c r="O6" i="11"/>
  <c r="O7" i="11"/>
  <c r="O8" i="11"/>
  <c r="O9" i="11"/>
  <c r="O5" i="11"/>
  <c r="L9" i="11"/>
  <c r="L41" i="11"/>
  <c r="K41" i="11"/>
  <c r="J41" i="11"/>
  <c r="I41" i="11"/>
  <c r="H41" i="11"/>
  <c r="G41" i="11"/>
  <c r="F41" i="11"/>
  <c r="E41" i="11"/>
  <c r="D41" i="11"/>
  <c r="L40" i="11"/>
  <c r="K40" i="11"/>
  <c r="J40" i="11"/>
  <c r="I40" i="11"/>
  <c r="H40" i="11"/>
  <c r="G40" i="11"/>
  <c r="F40" i="11"/>
  <c r="E40" i="11"/>
  <c r="D40" i="11"/>
  <c r="L39" i="11"/>
  <c r="K39" i="11"/>
  <c r="J39" i="11"/>
  <c r="I39" i="11"/>
  <c r="H39" i="11"/>
  <c r="G39" i="11"/>
  <c r="F39" i="11"/>
  <c r="E39" i="11"/>
  <c r="D39" i="11"/>
  <c r="C41" i="11"/>
  <c r="C40" i="11"/>
  <c r="C39" i="11"/>
  <c r="J36" i="11"/>
  <c r="F36" i="11"/>
  <c r="K35" i="11"/>
  <c r="G35" i="11"/>
  <c r="L34" i="11"/>
  <c r="H34" i="11"/>
  <c r="D34" i="11"/>
  <c r="C34" i="11"/>
  <c r="L31" i="11"/>
  <c r="K31" i="11"/>
  <c r="J31" i="11"/>
  <c r="I31" i="11"/>
  <c r="H31" i="11"/>
  <c r="G31" i="11"/>
  <c r="F31" i="11"/>
  <c r="E31" i="11"/>
  <c r="D31" i="11"/>
  <c r="C31" i="11"/>
  <c r="L30" i="11"/>
  <c r="K30" i="11"/>
  <c r="J30" i="11"/>
  <c r="I30" i="11"/>
  <c r="H30" i="11"/>
  <c r="G30" i="11"/>
  <c r="F30" i="11"/>
  <c r="E30" i="11"/>
  <c r="L29" i="11"/>
  <c r="L36" i="11" s="1"/>
  <c r="K29" i="11"/>
  <c r="K36" i="11" s="1"/>
  <c r="J29" i="11"/>
  <c r="I29" i="11"/>
  <c r="I36" i="11" s="1"/>
  <c r="H29" i="11"/>
  <c r="H36" i="11" s="1"/>
  <c r="G29" i="11"/>
  <c r="G36" i="11" s="1"/>
  <c r="F29" i="11"/>
  <c r="E29" i="11"/>
  <c r="E36" i="11" s="1"/>
  <c r="D29" i="11"/>
  <c r="D36" i="11" s="1"/>
  <c r="L28" i="11"/>
  <c r="L35" i="11" s="1"/>
  <c r="L37" i="11" s="1"/>
  <c r="K28" i="11"/>
  <c r="J28" i="11"/>
  <c r="J35" i="11" s="1"/>
  <c r="J37" i="11" s="1"/>
  <c r="I28" i="11"/>
  <c r="I35" i="11" s="1"/>
  <c r="H28" i="11"/>
  <c r="H35" i="11" s="1"/>
  <c r="G28" i="11"/>
  <c r="F28" i="11"/>
  <c r="F35" i="11" s="1"/>
  <c r="F37" i="11" s="1"/>
  <c r="E28" i="11"/>
  <c r="E35" i="11" s="1"/>
  <c r="D28" i="11"/>
  <c r="D35" i="11" s="1"/>
  <c r="L27" i="11"/>
  <c r="K27" i="11"/>
  <c r="K34" i="11" s="1"/>
  <c r="J27" i="11"/>
  <c r="J34" i="11" s="1"/>
  <c r="I27" i="11"/>
  <c r="I34" i="11" s="1"/>
  <c r="H27" i="11"/>
  <c r="G27" i="11"/>
  <c r="G34" i="11" s="1"/>
  <c r="F27" i="11"/>
  <c r="F34" i="11" s="1"/>
  <c r="E27" i="11"/>
  <c r="E34" i="11" s="1"/>
  <c r="D27" i="11"/>
  <c r="C30" i="11"/>
  <c r="D30" i="11"/>
  <c r="C29" i="11"/>
  <c r="C36" i="11" s="1"/>
  <c r="C28" i="11"/>
  <c r="C35" i="11" s="1"/>
  <c r="C27" i="11"/>
  <c r="L25" i="11"/>
  <c r="K25" i="11"/>
  <c r="J25" i="11"/>
  <c r="I25" i="11"/>
  <c r="H25" i="11"/>
  <c r="G25" i="11"/>
  <c r="F25" i="11"/>
  <c r="E25" i="11"/>
  <c r="D25" i="11"/>
  <c r="L23" i="11"/>
  <c r="K23" i="11"/>
  <c r="J23" i="11"/>
  <c r="I23" i="11"/>
  <c r="H23" i="11"/>
  <c r="G23" i="11"/>
  <c r="F23" i="11"/>
  <c r="E23" i="11"/>
  <c r="D23" i="11"/>
  <c r="L22" i="11"/>
  <c r="K22" i="11"/>
  <c r="J22" i="11"/>
  <c r="J24" i="11" s="1"/>
  <c r="I22" i="11"/>
  <c r="I24" i="11" s="1"/>
  <c r="H22" i="11"/>
  <c r="G22" i="11"/>
  <c r="F22" i="11"/>
  <c r="F24" i="11" s="1"/>
  <c r="E22" i="11"/>
  <c r="E24" i="11" s="1"/>
  <c r="D22" i="11"/>
  <c r="L21" i="11"/>
  <c r="K21" i="11"/>
  <c r="J21" i="11"/>
  <c r="I21" i="11"/>
  <c r="H21" i="11"/>
  <c r="G21" i="11"/>
  <c r="F21" i="11"/>
  <c r="E21" i="11"/>
  <c r="D21" i="11"/>
  <c r="C25" i="11"/>
  <c r="C23" i="11"/>
  <c r="C22" i="11"/>
  <c r="C24" i="11" s="1"/>
  <c r="C21" i="11"/>
  <c r="L7" i="11"/>
  <c r="K7" i="11"/>
  <c r="J7" i="11"/>
  <c r="I7" i="11"/>
  <c r="H7" i="11"/>
  <c r="G7" i="11"/>
  <c r="F7" i="11"/>
  <c r="E7" i="11"/>
  <c r="D7" i="11"/>
  <c r="L18" i="11"/>
  <c r="K18" i="11"/>
  <c r="J18" i="11"/>
  <c r="I18" i="11"/>
  <c r="H18" i="11"/>
  <c r="G18" i="11"/>
  <c r="F18" i="11"/>
  <c r="E18" i="11"/>
  <c r="D18" i="11"/>
  <c r="L17" i="11"/>
  <c r="K17" i="11"/>
  <c r="J17" i="11"/>
  <c r="I17" i="11"/>
  <c r="H17" i="11"/>
  <c r="G17" i="11"/>
  <c r="F17" i="11"/>
  <c r="E17" i="11"/>
  <c r="D17" i="11"/>
  <c r="C18" i="11"/>
  <c r="C17" i="11"/>
  <c r="L15" i="11"/>
  <c r="K15" i="11"/>
  <c r="J15" i="11"/>
  <c r="I15" i="11"/>
  <c r="H15" i="11"/>
  <c r="G15" i="11"/>
  <c r="F15" i="11"/>
  <c r="E15" i="11"/>
  <c r="D15" i="11"/>
  <c r="L14" i="11"/>
  <c r="K14" i="11"/>
  <c r="J14" i="11"/>
  <c r="I14" i="11"/>
  <c r="H14" i="11"/>
  <c r="G14" i="11"/>
  <c r="F14" i="11"/>
  <c r="E14" i="11"/>
  <c r="D14" i="11"/>
  <c r="L13" i="11"/>
  <c r="L19" i="11" s="1"/>
  <c r="K13" i="11"/>
  <c r="K19" i="11" s="1"/>
  <c r="J13" i="11"/>
  <c r="J19" i="11" s="1"/>
  <c r="I13" i="11"/>
  <c r="I19" i="11" s="1"/>
  <c r="H13" i="11"/>
  <c r="H19" i="11" s="1"/>
  <c r="G13" i="11"/>
  <c r="G19" i="11" s="1"/>
  <c r="F13" i="11"/>
  <c r="F19" i="11" s="1"/>
  <c r="E13" i="11"/>
  <c r="E19" i="11" s="1"/>
  <c r="D13" i="11"/>
  <c r="D19" i="11" s="1"/>
  <c r="L12" i="11"/>
  <c r="K12" i="11"/>
  <c r="J12" i="11"/>
  <c r="I12" i="11"/>
  <c r="H12" i="11"/>
  <c r="G12" i="11"/>
  <c r="F12" i="11"/>
  <c r="E12" i="11"/>
  <c r="D12" i="11"/>
  <c r="L11" i="11"/>
  <c r="K11" i="11"/>
  <c r="J11" i="11"/>
  <c r="I11" i="11"/>
  <c r="H11" i="11"/>
  <c r="G11" i="11"/>
  <c r="F11" i="11"/>
  <c r="E11" i="11"/>
  <c r="D11" i="11"/>
  <c r="C13" i="11"/>
  <c r="C19" i="11" s="1"/>
  <c r="C14" i="11"/>
  <c r="C15" i="11"/>
  <c r="C12" i="11"/>
  <c r="C11" i="11"/>
  <c r="K9" i="11"/>
  <c r="J9" i="11"/>
  <c r="I9" i="11"/>
  <c r="H9" i="11"/>
  <c r="G9" i="11"/>
  <c r="F9" i="11"/>
  <c r="E9" i="11"/>
  <c r="L8" i="11"/>
  <c r="K8" i="11"/>
  <c r="J8" i="11"/>
  <c r="I8" i="11"/>
  <c r="H8" i="11"/>
  <c r="G8" i="11"/>
  <c r="F8" i="11"/>
  <c r="E8" i="11"/>
  <c r="L6" i="11"/>
  <c r="K6" i="11"/>
  <c r="J6" i="11"/>
  <c r="I6" i="11"/>
  <c r="H6" i="11"/>
  <c r="G6" i="11"/>
  <c r="F6" i="11"/>
  <c r="E6" i="11"/>
  <c r="L5" i="11"/>
  <c r="K5" i="11"/>
  <c r="J5" i="11"/>
  <c r="I5" i="11"/>
  <c r="H5" i="11"/>
  <c r="G5" i="11"/>
  <c r="F5" i="11"/>
  <c r="E5" i="11"/>
  <c r="D9" i="11"/>
  <c r="D8" i="11"/>
  <c r="D6" i="11"/>
  <c r="D5" i="11"/>
  <c r="B2" i="11"/>
  <c r="L3" i="11"/>
  <c r="K3" i="11"/>
  <c r="J3" i="11"/>
  <c r="I3" i="11"/>
  <c r="H3" i="11"/>
  <c r="G3" i="11"/>
  <c r="F3" i="11"/>
  <c r="E3" i="11"/>
  <c r="D3" i="11"/>
  <c r="C3" i="11"/>
  <c r="F102" i="7"/>
  <c r="L102" i="7"/>
  <c r="K102" i="7"/>
  <c r="J102" i="7"/>
  <c r="I102" i="7"/>
  <c r="H102" i="7"/>
  <c r="G102" i="7"/>
  <c r="E102" i="7"/>
  <c r="D102" i="7"/>
  <c r="C102" i="7"/>
  <c r="L101" i="7"/>
  <c r="K101" i="7"/>
  <c r="J101" i="7"/>
  <c r="I101" i="7"/>
  <c r="H101" i="7"/>
  <c r="G101" i="7"/>
  <c r="F101" i="7"/>
  <c r="E101" i="7"/>
  <c r="D101" i="7"/>
  <c r="L100" i="7"/>
  <c r="K100" i="7"/>
  <c r="J100" i="7"/>
  <c r="I100" i="7"/>
  <c r="H100" i="7"/>
  <c r="G100" i="7"/>
  <c r="F100" i="7"/>
  <c r="E100" i="7"/>
  <c r="D100" i="7"/>
  <c r="L99" i="7"/>
  <c r="K99" i="7"/>
  <c r="J99" i="7"/>
  <c r="I99" i="7"/>
  <c r="H99" i="7"/>
  <c r="G99" i="7"/>
  <c r="F99" i="7"/>
  <c r="E99" i="7"/>
  <c r="D99" i="7"/>
  <c r="L98" i="7"/>
  <c r="K98" i="7"/>
  <c r="J98" i="7"/>
  <c r="I98" i="7"/>
  <c r="H98" i="7"/>
  <c r="G98" i="7"/>
  <c r="F98" i="7"/>
  <c r="E98" i="7"/>
  <c r="D98" i="7"/>
  <c r="L97" i="7"/>
  <c r="K97" i="7"/>
  <c r="J97" i="7"/>
  <c r="I97" i="7"/>
  <c r="H97" i="7"/>
  <c r="G97" i="7"/>
  <c r="F97" i="7"/>
  <c r="E97" i="7"/>
  <c r="D97" i="7"/>
  <c r="L96" i="7"/>
  <c r="K96" i="7"/>
  <c r="J96" i="7"/>
  <c r="I96" i="7"/>
  <c r="H96" i="7"/>
  <c r="G96" i="7"/>
  <c r="F96" i="7"/>
  <c r="E96" i="7"/>
  <c r="D96" i="7"/>
  <c r="L95" i="7"/>
  <c r="K95" i="7"/>
  <c r="J95" i="7"/>
  <c r="I95" i="7"/>
  <c r="H95" i="7"/>
  <c r="G95" i="7"/>
  <c r="F95" i="7"/>
  <c r="E95" i="7"/>
  <c r="D95" i="7"/>
  <c r="L94" i="7"/>
  <c r="K94" i="7"/>
  <c r="J94" i="7"/>
  <c r="I94" i="7"/>
  <c r="H94" i="7"/>
  <c r="G94" i="7"/>
  <c r="F94" i="7"/>
  <c r="E94" i="7"/>
  <c r="D94" i="7"/>
  <c r="L93" i="7"/>
  <c r="K93" i="7"/>
  <c r="J93" i="7"/>
  <c r="I93" i="7"/>
  <c r="H93" i="7"/>
  <c r="G93" i="7"/>
  <c r="F93" i="7"/>
  <c r="E93" i="7"/>
  <c r="D93" i="7"/>
  <c r="C101" i="7"/>
  <c r="C100" i="7"/>
  <c r="C99" i="7"/>
  <c r="C98" i="7"/>
  <c r="C97" i="7"/>
  <c r="C96" i="7"/>
  <c r="C95" i="7"/>
  <c r="C94" i="7"/>
  <c r="C93" i="7"/>
  <c r="L90" i="7"/>
  <c r="K90" i="7"/>
  <c r="J90" i="7"/>
  <c r="I90" i="7"/>
  <c r="H90" i="7"/>
  <c r="G90" i="7"/>
  <c r="F90" i="7"/>
  <c r="E90" i="7"/>
  <c r="D90" i="7"/>
  <c r="C90" i="7"/>
  <c r="L89" i="7"/>
  <c r="K89" i="7"/>
  <c r="J89" i="7"/>
  <c r="I89" i="7"/>
  <c r="H89" i="7"/>
  <c r="G89" i="7"/>
  <c r="F89" i="7"/>
  <c r="E89" i="7"/>
  <c r="D89" i="7"/>
  <c r="L88" i="7"/>
  <c r="K88" i="7"/>
  <c r="J88" i="7"/>
  <c r="I88" i="7"/>
  <c r="H88" i="7"/>
  <c r="G88" i="7"/>
  <c r="F88" i="7"/>
  <c r="E88" i="7"/>
  <c r="D88" i="7"/>
  <c r="L87" i="7"/>
  <c r="K87" i="7"/>
  <c r="J87" i="7"/>
  <c r="I87" i="7"/>
  <c r="H87" i="7"/>
  <c r="G87" i="7"/>
  <c r="F87" i="7"/>
  <c r="E87" i="7"/>
  <c r="D87" i="7"/>
  <c r="L86" i="7"/>
  <c r="K86" i="7"/>
  <c r="J86" i="7"/>
  <c r="I86" i="7"/>
  <c r="H86" i="7"/>
  <c r="G86" i="7"/>
  <c r="F86" i="7"/>
  <c r="E86" i="7"/>
  <c r="D86" i="7"/>
  <c r="L85" i="7"/>
  <c r="K85" i="7"/>
  <c r="J85" i="7"/>
  <c r="I85" i="7"/>
  <c r="H85" i="7"/>
  <c r="G85" i="7"/>
  <c r="F85" i="7"/>
  <c r="E85" i="7"/>
  <c r="D85" i="7"/>
  <c r="L84" i="7"/>
  <c r="K84" i="7"/>
  <c r="J84" i="7"/>
  <c r="I84" i="7"/>
  <c r="H84" i="7"/>
  <c r="G84" i="7"/>
  <c r="F84" i="7"/>
  <c r="E84" i="7"/>
  <c r="D84" i="7"/>
  <c r="L83" i="7"/>
  <c r="K83" i="7"/>
  <c r="J83" i="7"/>
  <c r="I83" i="7"/>
  <c r="H83" i="7"/>
  <c r="G83" i="7"/>
  <c r="F83" i="7"/>
  <c r="E83" i="7"/>
  <c r="D83" i="7"/>
  <c r="L82" i="7"/>
  <c r="K82" i="7"/>
  <c r="J82" i="7"/>
  <c r="I82" i="7"/>
  <c r="H82" i="7"/>
  <c r="G82" i="7"/>
  <c r="F82" i="7"/>
  <c r="E82" i="7"/>
  <c r="D82" i="7"/>
  <c r="C89" i="7"/>
  <c r="C88" i="7"/>
  <c r="C87" i="7"/>
  <c r="C86" i="7"/>
  <c r="C85" i="7"/>
  <c r="C84" i="7"/>
  <c r="C83" i="7"/>
  <c r="C82" i="7"/>
  <c r="L79" i="7"/>
  <c r="L104" i="7" s="1"/>
  <c r="K79" i="7"/>
  <c r="K104" i="7" s="1"/>
  <c r="J79" i="7"/>
  <c r="I79" i="7"/>
  <c r="H79" i="7"/>
  <c r="H104" i="7" s="1"/>
  <c r="G79" i="7"/>
  <c r="G104" i="7" s="1"/>
  <c r="F79" i="7"/>
  <c r="E79" i="7"/>
  <c r="D79" i="7"/>
  <c r="D104" i="7" s="1"/>
  <c r="C79" i="7"/>
  <c r="C104" i="7" s="1"/>
  <c r="L78" i="7"/>
  <c r="K78" i="7"/>
  <c r="J78" i="7"/>
  <c r="I78" i="7"/>
  <c r="H78" i="7"/>
  <c r="G78" i="7"/>
  <c r="F78" i="7"/>
  <c r="E78" i="7"/>
  <c r="D78" i="7"/>
  <c r="L77" i="7"/>
  <c r="K77" i="7"/>
  <c r="J77" i="7"/>
  <c r="I77" i="7"/>
  <c r="H77" i="7"/>
  <c r="G77" i="7"/>
  <c r="F77" i="7"/>
  <c r="E77" i="7"/>
  <c r="D77" i="7"/>
  <c r="L76" i="7"/>
  <c r="K76" i="7"/>
  <c r="J76" i="7"/>
  <c r="I76" i="7"/>
  <c r="H76" i="7"/>
  <c r="G76" i="7"/>
  <c r="F76" i="7"/>
  <c r="E76" i="7"/>
  <c r="D76" i="7"/>
  <c r="L75" i="7"/>
  <c r="K75" i="7"/>
  <c r="J75" i="7"/>
  <c r="I75" i="7"/>
  <c r="H75" i="7"/>
  <c r="G75" i="7"/>
  <c r="F75" i="7"/>
  <c r="E75" i="7"/>
  <c r="D75" i="7"/>
  <c r="L74" i="7"/>
  <c r="K74" i="7"/>
  <c r="J74" i="7"/>
  <c r="I74" i="7"/>
  <c r="H74" i="7"/>
  <c r="G74" i="7"/>
  <c r="F74" i="7"/>
  <c r="E74" i="7"/>
  <c r="D74" i="7"/>
  <c r="L73" i="7"/>
  <c r="K73" i="7"/>
  <c r="J73" i="7"/>
  <c r="I73" i="7"/>
  <c r="H73" i="7"/>
  <c r="G73" i="7"/>
  <c r="F73" i="7"/>
  <c r="E73" i="7"/>
  <c r="D73" i="7"/>
  <c r="L72" i="7"/>
  <c r="K72" i="7"/>
  <c r="J72" i="7"/>
  <c r="I72" i="7"/>
  <c r="H72" i="7"/>
  <c r="G72" i="7"/>
  <c r="F72" i="7"/>
  <c r="E72" i="7"/>
  <c r="D72" i="7"/>
  <c r="L71" i="7"/>
  <c r="K71" i="7"/>
  <c r="J71" i="7"/>
  <c r="I71" i="7"/>
  <c r="H71" i="7"/>
  <c r="G71" i="7"/>
  <c r="F71" i="7"/>
  <c r="E71" i="7"/>
  <c r="D71" i="7"/>
  <c r="L70" i="7"/>
  <c r="K70" i="7"/>
  <c r="J70" i="7"/>
  <c r="I70" i="7"/>
  <c r="H70" i="7"/>
  <c r="G70" i="7"/>
  <c r="F70" i="7"/>
  <c r="E70" i="7"/>
  <c r="D70" i="7"/>
  <c r="C78" i="7"/>
  <c r="C77" i="7"/>
  <c r="C76" i="7"/>
  <c r="C75" i="7"/>
  <c r="C74" i="7"/>
  <c r="C73" i="7"/>
  <c r="C72" i="7"/>
  <c r="C71" i="7"/>
  <c r="C70" i="7"/>
  <c r="L57" i="7"/>
  <c r="K57" i="7"/>
  <c r="J57" i="7"/>
  <c r="I57" i="7"/>
  <c r="H57" i="7"/>
  <c r="G57" i="7"/>
  <c r="F57" i="7"/>
  <c r="E57" i="7"/>
  <c r="D57" i="7"/>
  <c r="C57" i="7"/>
  <c r="L56" i="7"/>
  <c r="K56" i="7"/>
  <c r="J56" i="7"/>
  <c r="I56" i="7"/>
  <c r="H56" i="7"/>
  <c r="G56" i="7"/>
  <c r="F56" i="7"/>
  <c r="E56" i="7"/>
  <c r="D56" i="7"/>
  <c r="C56" i="7"/>
  <c r="L64" i="7"/>
  <c r="L66" i="7" s="1"/>
  <c r="L62" i="7"/>
  <c r="K62" i="7"/>
  <c r="K64" i="7" s="1"/>
  <c r="K66" i="7" s="1"/>
  <c r="J62" i="7"/>
  <c r="J64" i="7" s="1"/>
  <c r="J66" i="7" s="1"/>
  <c r="I62" i="7"/>
  <c r="H62" i="7"/>
  <c r="H64" i="7" s="1"/>
  <c r="H66" i="7" s="1"/>
  <c r="G62" i="7"/>
  <c r="F62" i="7"/>
  <c r="F64" i="7" s="1"/>
  <c r="F66" i="7" s="1"/>
  <c r="E62" i="7"/>
  <c r="D62" i="7"/>
  <c r="D64" i="7" s="1"/>
  <c r="D66" i="7" s="1"/>
  <c r="C62" i="7"/>
  <c r="L61" i="7"/>
  <c r="K61" i="7"/>
  <c r="J61" i="7"/>
  <c r="I61" i="7"/>
  <c r="H61" i="7"/>
  <c r="G61" i="7"/>
  <c r="F61" i="7"/>
  <c r="E61" i="7"/>
  <c r="D61" i="7"/>
  <c r="L60" i="7"/>
  <c r="K60" i="7"/>
  <c r="J60" i="7"/>
  <c r="I60" i="7"/>
  <c r="H60" i="7"/>
  <c r="G60" i="7"/>
  <c r="F60" i="7"/>
  <c r="E60" i="7"/>
  <c r="D60" i="7"/>
  <c r="L59" i="7"/>
  <c r="K59" i="7"/>
  <c r="J59" i="7"/>
  <c r="I59" i="7"/>
  <c r="H59" i="7"/>
  <c r="G59" i="7"/>
  <c r="F59" i="7"/>
  <c r="E59" i="7"/>
  <c r="D59" i="7"/>
  <c r="C61" i="7"/>
  <c r="C60" i="7"/>
  <c r="C59" i="7"/>
  <c r="L55" i="7"/>
  <c r="K55" i="7"/>
  <c r="J55" i="7"/>
  <c r="I55" i="7"/>
  <c r="H55" i="7"/>
  <c r="G55" i="7"/>
  <c r="F55" i="7"/>
  <c r="E55" i="7"/>
  <c r="D55" i="7"/>
  <c r="L54" i="7"/>
  <c r="K54" i="7"/>
  <c r="J54" i="7"/>
  <c r="I54" i="7"/>
  <c r="H54" i="7"/>
  <c r="G54" i="7"/>
  <c r="F54" i="7"/>
  <c r="E54" i="7"/>
  <c r="D54" i="7"/>
  <c r="L53" i="7"/>
  <c r="K53" i="7"/>
  <c r="J53" i="7"/>
  <c r="I53" i="7"/>
  <c r="H53" i="7"/>
  <c r="G53" i="7"/>
  <c r="F53" i="7"/>
  <c r="E53" i="7"/>
  <c r="D53" i="7"/>
  <c r="C55" i="7"/>
  <c r="C54" i="7"/>
  <c r="C53" i="7"/>
  <c r="L51" i="7"/>
  <c r="K51" i="7"/>
  <c r="J51" i="7"/>
  <c r="I51" i="7"/>
  <c r="H51" i="7"/>
  <c r="G51" i="7"/>
  <c r="F51" i="7"/>
  <c r="E51" i="7"/>
  <c r="D51" i="7"/>
  <c r="L50" i="7"/>
  <c r="K50" i="7"/>
  <c r="J50" i="7"/>
  <c r="I50" i="7"/>
  <c r="H50" i="7"/>
  <c r="G50" i="7"/>
  <c r="F50" i="7"/>
  <c r="E50" i="7"/>
  <c r="D50" i="7"/>
  <c r="L49" i="7"/>
  <c r="K49" i="7"/>
  <c r="J49" i="7"/>
  <c r="I49" i="7"/>
  <c r="H49" i="7"/>
  <c r="G49" i="7"/>
  <c r="F49" i="7"/>
  <c r="E49" i="7"/>
  <c r="D49" i="7"/>
  <c r="L48" i="7"/>
  <c r="K48" i="7"/>
  <c r="J48" i="7"/>
  <c r="I48" i="7"/>
  <c r="H48" i="7"/>
  <c r="G48" i="7"/>
  <c r="F48" i="7"/>
  <c r="E48" i="7"/>
  <c r="D48" i="7"/>
  <c r="L47" i="7"/>
  <c r="K47" i="7"/>
  <c r="J47" i="7"/>
  <c r="I47" i="7"/>
  <c r="H47" i="7"/>
  <c r="G47" i="7"/>
  <c r="F47" i="7"/>
  <c r="E47" i="7"/>
  <c r="D47" i="7"/>
  <c r="C51" i="7"/>
  <c r="C50" i="7"/>
  <c r="C49" i="7"/>
  <c r="C48" i="7"/>
  <c r="C47" i="7"/>
  <c r="D36" i="7"/>
  <c r="D41" i="7" s="1"/>
  <c r="E36" i="7"/>
  <c r="E41" i="7" s="1"/>
  <c r="F36" i="7"/>
  <c r="F41" i="7" s="1"/>
  <c r="G36" i="7"/>
  <c r="G41" i="7" s="1"/>
  <c r="H36" i="7"/>
  <c r="H41" i="7" s="1"/>
  <c r="I36" i="7"/>
  <c r="I41" i="7" s="1"/>
  <c r="J36" i="7"/>
  <c r="J41" i="7" s="1"/>
  <c r="K36" i="7"/>
  <c r="K41" i="7" s="1"/>
  <c r="L36" i="7"/>
  <c r="M36" i="7" s="1"/>
  <c r="M41" i="7" s="1"/>
  <c r="C36" i="7"/>
  <c r="C41" i="7" s="1"/>
  <c r="M30" i="7"/>
  <c r="L30" i="7"/>
  <c r="K30" i="7"/>
  <c r="J30" i="7"/>
  <c r="I30" i="7"/>
  <c r="H30" i="7"/>
  <c r="G30" i="7"/>
  <c r="F30" i="7"/>
  <c r="E30" i="7"/>
  <c r="D30" i="7"/>
  <c r="C30" i="7"/>
  <c r="M24" i="7"/>
  <c r="L24" i="7"/>
  <c r="K24" i="7"/>
  <c r="J24" i="7"/>
  <c r="I24" i="7"/>
  <c r="H24" i="7"/>
  <c r="G24" i="7"/>
  <c r="F24" i="7"/>
  <c r="E24" i="7"/>
  <c r="D24" i="7"/>
  <c r="C24" i="7"/>
  <c r="M21" i="7"/>
  <c r="C21" i="7"/>
  <c r="D21" i="7"/>
  <c r="E21" i="7"/>
  <c r="F21" i="7"/>
  <c r="G21" i="7"/>
  <c r="H21" i="7"/>
  <c r="I21" i="7"/>
  <c r="J21" i="7"/>
  <c r="K21" i="7"/>
  <c r="L21" i="7"/>
  <c r="L15" i="7"/>
  <c r="K15" i="7"/>
  <c r="J15" i="7"/>
  <c r="I15" i="7"/>
  <c r="H15" i="7"/>
  <c r="G15" i="7"/>
  <c r="F15" i="7"/>
  <c r="E15" i="7"/>
  <c r="D15" i="7"/>
  <c r="C15" i="7"/>
  <c r="M9" i="7"/>
  <c r="C9" i="7"/>
  <c r="L9" i="7"/>
  <c r="K9" i="7"/>
  <c r="J9" i="7"/>
  <c r="I9" i="7"/>
  <c r="H9" i="7"/>
  <c r="G9" i="7"/>
  <c r="F9" i="7"/>
  <c r="E9" i="7"/>
  <c r="D9" i="7"/>
  <c r="M6" i="7"/>
  <c r="D6" i="7"/>
  <c r="E6" i="7"/>
  <c r="F6" i="7"/>
  <c r="F16" i="7" s="1"/>
  <c r="G6" i="7"/>
  <c r="H6" i="7"/>
  <c r="I6" i="7"/>
  <c r="J6" i="7"/>
  <c r="J16" i="7" s="1"/>
  <c r="K6" i="7"/>
  <c r="L6" i="7"/>
  <c r="C6" i="7"/>
  <c r="C12" i="7" s="1"/>
  <c r="C13" i="7" s="1"/>
  <c r="L3" i="7"/>
  <c r="D3" i="7"/>
  <c r="E3" i="7"/>
  <c r="F3" i="7"/>
  <c r="G3" i="7"/>
  <c r="H3" i="7"/>
  <c r="I3" i="7"/>
  <c r="J3" i="7"/>
  <c r="K3" i="7"/>
  <c r="C3" i="7"/>
  <c r="B2" i="7"/>
  <c r="B6" i="6"/>
  <c r="E1" i="6"/>
  <c r="N12" i="12" l="1"/>
  <c r="N11" i="12"/>
  <c r="N14" i="12"/>
  <c r="N10" i="12"/>
  <c r="N6" i="12"/>
  <c r="N8" i="12"/>
  <c r="N7" i="12"/>
  <c r="N13" i="12"/>
  <c r="N9" i="12"/>
  <c r="O9" i="12" s="1"/>
  <c r="L16" i="12"/>
  <c r="O14" i="12"/>
  <c r="I8" i="12"/>
  <c r="I11" i="12"/>
  <c r="I7" i="12"/>
  <c r="I12" i="12"/>
  <c r="I14" i="12"/>
  <c r="I10" i="12"/>
  <c r="I6" i="12"/>
  <c r="I13" i="12"/>
  <c r="I9" i="12"/>
  <c r="J9" i="12" s="1"/>
  <c r="H16" i="12"/>
  <c r="H17" i="12" s="1"/>
  <c r="H18" i="12" s="1"/>
  <c r="H19" i="12" s="1"/>
  <c r="G16" i="12"/>
  <c r="J6" i="12"/>
  <c r="D12" i="12"/>
  <c r="D11" i="12"/>
  <c r="E11" i="12" s="1"/>
  <c r="D14" i="12"/>
  <c r="D10" i="12"/>
  <c r="D6" i="12"/>
  <c r="E6" i="12" s="1"/>
  <c r="D8" i="12"/>
  <c r="D7" i="12"/>
  <c r="D13" i="12"/>
  <c r="D9" i="12"/>
  <c r="C37" i="11"/>
  <c r="G37" i="11"/>
  <c r="E37" i="11"/>
  <c r="I37" i="11"/>
  <c r="D37" i="11"/>
  <c r="H37" i="11"/>
  <c r="K37" i="11"/>
  <c r="G24" i="11"/>
  <c r="K24" i="11"/>
  <c r="D24" i="11"/>
  <c r="H24" i="11"/>
  <c r="L24" i="11"/>
  <c r="F104" i="7"/>
  <c r="C64" i="7"/>
  <c r="C66" i="7" s="1"/>
  <c r="G64" i="7"/>
  <c r="G66" i="7" s="1"/>
  <c r="J104" i="7"/>
  <c r="E104" i="7"/>
  <c r="I104" i="7"/>
  <c r="E64" i="7"/>
  <c r="E66" i="7" s="1"/>
  <c r="I64" i="7"/>
  <c r="I66" i="7" s="1"/>
  <c r="I22" i="7"/>
  <c r="E22" i="7"/>
  <c r="M12" i="7"/>
  <c r="M18" i="7" s="1"/>
  <c r="M19" i="7" s="1"/>
  <c r="L41" i="7"/>
  <c r="G10" i="7"/>
  <c r="K10" i="7"/>
  <c r="C16" i="7"/>
  <c r="G16" i="7"/>
  <c r="K16" i="7"/>
  <c r="M22" i="7"/>
  <c r="G25" i="7"/>
  <c r="K25" i="7"/>
  <c r="J22" i="7"/>
  <c r="F22" i="7"/>
  <c r="F25" i="7"/>
  <c r="J25" i="7"/>
  <c r="L10" i="7"/>
  <c r="H10" i="7"/>
  <c r="D10" i="7"/>
  <c r="E12" i="7"/>
  <c r="I12" i="7"/>
  <c r="C10" i="7"/>
  <c r="E16" i="7"/>
  <c r="I16" i="7"/>
  <c r="L22" i="7"/>
  <c r="H22" i="7"/>
  <c r="D22" i="7"/>
  <c r="D25" i="7"/>
  <c r="H25" i="7"/>
  <c r="L25" i="7"/>
  <c r="K7" i="7"/>
  <c r="G7" i="7"/>
  <c r="F10" i="7"/>
  <c r="J10" i="7"/>
  <c r="K22" i="7"/>
  <c r="G22" i="7"/>
  <c r="C22" i="7"/>
  <c r="E25" i="7"/>
  <c r="I25" i="7"/>
  <c r="M25" i="7"/>
  <c r="F7" i="7"/>
  <c r="C18" i="7"/>
  <c r="D16" i="7"/>
  <c r="H16" i="7"/>
  <c r="L16" i="7"/>
  <c r="C25" i="7"/>
  <c r="E7" i="7"/>
  <c r="I7" i="7"/>
  <c r="E10" i="7"/>
  <c r="I10" i="7"/>
  <c r="M10" i="7"/>
  <c r="F12" i="7"/>
  <c r="J12" i="7"/>
  <c r="J7" i="7"/>
  <c r="G12" i="7"/>
  <c r="K12" i="7"/>
  <c r="M16" i="7"/>
  <c r="D12" i="7"/>
  <c r="H12" i="7"/>
  <c r="L12" i="7"/>
  <c r="D7" i="7"/>
  <c r="H7" i="7"/>
  <c r="L7" i="7"/>
  <c r="O15" i="12" l="1"/>
  <c r="J11" i="12"/>
  <c r="O7" i="12"/>
  <c r="J8" i="12"/>
  <c r="E8" i="12"/>
  <c r="D18" i="12"/>
  <c r="E9" i="12"/>
  <c r="E12" i="12"/>
  <c r="D16" i="12"/>
  <c r="D19" i="12"/>
  <c r="E19" i="12" s="1"/>
  <c r="E13" i="12"/>
  <c r="E10" i="12"/>
  <c r="I16" i="12"/>
  <c r="J14" i="12"/>
  <c r="J12" i="12"/>
  <c r="O8" i="12"/>
  <c r="O11" i="12"/>
  <c r="D15" i="12"/>
  <c r="E15" i="12" s="1"/>
  <c r="E7" i="12"/>
  <c r="E14" i="12"/>
  <c r="I15" i="12"/>
  <c r="J15" i="12" s="1"/>
  <c r="D17" i="12"/>
  <c r="O16" i="12"/>
  <c r="L17" i="12"/>
  <c r="O10" i="12"/>
  <c r="O12" i="12"/>
  <c r="O6" i="12"/>
  <c r="O13" i="12"/>
  <c r="J7" i="12"/>
  <c r="G17" i="12"/>
  <c r="I17" i="12" s="1"/>
  <c r="J10" i="12"/>
  <c r="J13" i="12"/>
  <c r="M27" i="7"/>
  <c r="M31" i="7" s="1"/>
  <c r="M13" i="7"/>
  <c r="C19" i="7"/>
  <c r="C27" i="7"/>
  <c r="H18" i="7"/>
  <c r="H13" i="7"/>
  <c r="E18" i="7"/>
  <c r="E13" i="7"/>
  <c r="D18" i="7"/>
  <c r="D13" i="7"/>
  <c r="G18" i="7"/>
  <c r="G13" i="7"/>
  <c r="J18" i="7"/>
  <c r="J13" i="7"/>
  <c r="L18" i="7"/>
  <c r="L13" i="7"/>
  <c r="K18" i="7"/>
  <c r="K13" i="7"/>
  <c r="F18" i="7"/>
  <c r="F13" i="7"/>
  <c r="I18" i="7"/>
  <c r="I13" i="7"/>
  <c r="J16" i="12" l="1"/>
  <c r="E17" i="12"/>
  <c r="E18" i="12"/>
  <c r="E16" i="12"/>
  <c r="O17" i="12"/>
  <c r="L18" i="12"/>
  <c r="J17" i="12"/>
  <c r="G18" i="12"/>
  <c r="I18" i="12" s="1"/>
  <c r="M33" i="7"/>
  <c r="M34" i="7" s="1"/>
  <c r="M28" i="7"/>
  <c r="C33" i="7"/>
  <c r="C38" i="7" s="1"/>
  <c r="C28" i="7"/>
  <c r="C31" i="7"/>
  <c r="F19" i="7"/>
  <c r="F27" i="7"/>
  <c r="G19" i="7"/>
  <c r="G27" i="7"/>
  <c r="I19" i="7"/>
  <c r="I27" i="7"/>
  <c r="K19" i="7"/>
  <c r="K27" i="7"/>
  <c r="J19" i="7"/>
  <c r="J27" i="7"/>
  <c r="D19" i="7"/>
  <c r="D27" i="7"/>
  <c r="H19" i="7"/>
  <c r="H27" i="7"/>
  <c r="M38" i="7"/>
  <c r="L19" i="7"/>
  <c r="L27" i="7"/>
  <c r="E19" i="7"/>
  <c r="E27" i="7"/>
  <c r="O18" i="12" l="1"/>
  <c r="L19" i="12"/>
  <c r="J18" i="12"/>
  <c r="G19" i="12"/>
  <c r="M42" i="7"/>
  <c r="M44" i="7" s="1"/>
  <c r="C42" i="7"/>
  <c r="C44" i="7" s="1"/>
  <c r="C34" i="7"/>
  <c r="E31" i="7"/>
  <c r="E28" i="7"/>
  <c r="E33" i="7"/>
  <c r="D31" i="7"/>
  <c r="D28" i="7"/>
  <c r="D33" i="7"/>
  <c r="K33" i="7"/>
  <c r="K31" i="7"/>
  <c r="K28" i="7"/>
  <c r="G33" i="7"/>
  <c r="G31" i="7"/>
  <c r="G28" i="7"/>
  <c r="I31" i="7"/>
  <c r="I28" i="7"/>
  <c r="I33" i="7"/>
  <c r="L28" i="7"/>
  <c r="L31" i="7"/>
  <c r="L33" i="7"/>
  <c r="H28" i="7"/>
  <c r="H31" i="7"/>
  <c r="H33" i="7"/>
  <c r="J31" i="7"/>
  <c r="J33" i="7"/>
  <c r="J28" i="7"/>
  <c r="F33" i="7"/>
  <c r="F31" i="7"/>
  <c r="F28" i="7"/>
  <c r="O19" i="12" l="1"/>
  <c r="I19" i="12"/>
  <c r="J19" i="12" s="1"/>
  <c r="J38" i="7"/>
  <c r="J34" i="7"/>
  <c r="I34" i="7"/>
  <c r="I38" i="7"/>
  <c r="K38" i="7"/>
  <c r="K34" i="7"/>
  <c r="E34" i="7"/>
  <c r="E38" i="7"/>
  <c r="G38" i="7"/>
  <c r="G34" i="7"/>
  <c r="L38" i="7"/>
  <c r="L34" i="7"/>
  <c r="D34" i="7"/>
  <c r="D38" i="7"/>
  <c r="F38" i="7"/>
  <c r="F34" i="7"/>
  <c r="H34" i="7"/>
  <c r="H38" i="7"/>
  <c r="G39" i="7" l="1"/>
  <c r="G42" i="7"/>
  <c r="G44" i="7" s="1"/>
  <c r="K39" i="7"/>
  <c r="K42" i="7"/>
  <c r="K44" i="7" s="1"/>
  <c r="J39" i="7"/>
  <c r="J42" i="7"/>
  <c r="J44" i="7" s="1"/>
  <c r="E39" i="7"/>
  <c r="E42" i="7"/>
  <c r="E44" i="7" s="1"/>
  <c r="I39" i="7"/>
  <c r="I42" i="7"/>
  <c r="I44" i="7" s="1"/>
  <c r="F39" i="7"/>
  <c r="F42" i="7"/>
  <c r="F44" i="7" s="1"/>
  <c r="L39" i="7"/>
  <c r="L42" i="7"/>
  <c r="L44" i="7" s="1"/>
  <c r="M39" i="7"/>
  <c r="H39" i="7"/>
  <c r="H42" i="7"/>
  <c r="H44" i="7" s="1"/>
  <c r="D39" i="7"/>
  <c r="D42" i="7"/>
  <c r="D44" i="7" s="1"/>
</calcChain>
</file>

<file path=xl/sharedStrings.xml><?xml version="1.0" encoding="utf-8"?>
<sst xmlns="http://schemas.openxmlformats.org/spreadsheetml/2006/main" count="230" uniqueCount="166">
  <si>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</si>
  <si>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</si>
  <si>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</si>
  <si>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</si>
  <si>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</si>
  <si>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</si>
  <si>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</si>
  <si>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</si>
  <si>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</si>
  <si>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</si>
  <si>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Sales Growth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</si>
  <si>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</si>
  <si>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</si>
  <si>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</si>
  <si>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</si>
  <si>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</si>
  <si>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</si>
  <si>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</si>
  <si>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</si>
  <si>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</si>
  <si>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</si>
  <si>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</si>
  <si>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</si>
  <si>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</si>
  <si>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</si>
  <si>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</si>
  <si>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</si>
  <si>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</si>
  <si>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</si>
  <si>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</si>
  <si>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</si>
  <si>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EPS</t>
  </si>
  <si>
    <t>LATEST VERSION</t>
  </si>
  <si>
    <t>CURRENT VERSION</t>
  </si>
  <si>
    <t>HINDUSTAN UNILEVER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</si>
  <si>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</si>
  <si>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</si>
  <si>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</si>
  <si>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</si>
  <si>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</si>
  <si>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</si>
  <si>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</si>
  <si>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</si>
  <si>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</si>
  <si>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</si>
  <si>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</si>
  <si>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</si>
  <si>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</si>
  <si>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</si>
  <si>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</si>
  <si>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</si>
  <si>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</si>
  <si>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</si>
  <si>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</si>
  <si>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</si>
  <si>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</si>
  <si>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 xml:space="preserve">Years </t>
  </si>
  <si>
    <t>LTM</t>
  </si>
  <si>
    <t>#</t>
  </si>
  <si>
    <t xml:space="preserve">Income Statement </t>
  </si>
  <si>
    <t xml:space="preserve">Sales Growth </t>
  </si>
  <si>
    <t>-</t>
  </si>
  <si>
    <t>COS</t>
  </si>
  <si>
    <t>COS % Sales</t>
  </si>
  <si>
    <t xml:space="preserve">Gross Profit </t>
  </si>
  <si>
    <t xml:space="preserve">Selling &amp; General Expenses </t>
  </si>
  <si>
    <t>SG&amp;A % Sales</t>
  </si>
  <si>
    <t>EBITDA</t>
  </si>
  <si>
    <t>EBITDA % Sales</t>
  </si>
  <si>
    <t xml:space="preserve">Interest </t>
  </si>
  <si>
    <t>Interest % Sales</t>
  </si>
  <si>
    <t>Depreciation % Sales</t>
  </si>
  <si>
    <t>Gross Margins</t>
  </si>
  <si>
    <t xml:space="preserve">Earnings Before Tax </t>
  </si>
  <si>
    <t>EBT % Sales</t>
  </si>
  <si>
    <t xml:space="preserve">Tax </t>
  </si>
  <si>
    <t xml:space="preserve">Effective Tax rate </t>
  </si>
  <si>
    <t>Net Profit</t>
  </si>
  <si>
    <t>Net Margin</t>
  </si>
  <si>
    <t>No. of Equity Shares O/S</t>
  </si>
  <si>
    <t xml:space="preserve">Earnings Per Share </t>
  </si>
  <si>
    <t xml:space="preserve">Dividends Per Share </t>
  </si>
  <si>
    <t xml:space="preserve">EPS growth % </t>
  </si>
  <si>
    <t xml:space="preserve">Dividend Payout Ratio </t>
  </si>
  <si>
    <t>Retained Earnings</t>
  </si>
  <si>
    <t xml:space="preserve">Balance Sheet </t>
  </si>
  <si>
    <t>Total Liabilities</t>
  </si>
  <si>
    <t>Fixed Assets Net Block</t>
  </si>
  <si>
    <t xml:space="preserve">Total Non Current Asset </t>
  </si>
  <si>
    <t xml:space="preserve">Total Current Asset </t>
  </si>
  <si>
    <t xml:space="preserve">Total Asset </t>
  </si>
  <si>
    <t>CHECK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</si>
  <si>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</si>
  <si>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</si>
  <si>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</si>
  <si>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</si>
  <si>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</si>
  <si>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</si>
  <si>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Other operating items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</si>
  <si>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</si>
  <si>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</si>
  <si>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</si>
  <si>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</si>
  <si>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</si>
  <si>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</si>
  <si>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Acquisition of companies</t>
  </si>
  <si>
    <t>Other investing items</t>
  </si>
  <si>
    <t>Proceeds from shares</t>
  </si>
  <si>
    <t>Proceeds from borrowings</t>
  </si>
  <si>
    <t>Repayment of borrowings</t>
  </si>
  <si>
    <t>Proceeds from deposits</t>
  </si>
  <si>
    <t>Interest paid fin</t>
  </si>
  <si>
    <t>Dividends paid</t>
  </si>
  <si>
    <t>Financial liabilities</t>
  </si>
  <si>
    <t>Application money refund</t>
  </si>
  <si>
    <t>Other financing items</t>
  </si>
  <si>
    <t>Free Cash Flow</t>
  </si>
  <si>
    <t>CFO/OP</t>
  </si>
  <si>
    <t>Cash from Operating Activity -</t>
  </si>
  <si>
    <t>Cash from Investing Activity -</t>
  </si>
  <si>
    <t>Cash from Financing Activity -</t>
  </si>
  <si>
    <t xml:space="preserve">Cash Flow Statement </t>
  </si>
  <si>
    <t xml:space="preserve"> Operating Activities</t>
  </si>
  <si>
    <t xml:space="preserve">Cash from Operating Activities </t>
  </si>
  <si>
    <t xml:space="preserve">Investing Activities </t>
  </si>
  <si>
    <t xml:space="preserve">Cash from Investing Activities </t>
  </si>
  <si>
    <t>Financing Activities</t>
  </si>
  <si>
    <t xml:space="preserve">Cash from Financing  Activities </t>
  </si>
  <si>
    <t>EBITDA growth</t>
  </si>
  <si>
    <t>EBIT growth</t>
  </si>
  <si>
    <t>Net profit growth</t>
  </si>
  <si>
    <t>EBITDA margin</t>
  </si>
  <si>
    <t>Gross margin</t>
  </si>
  <si>
    <t xml:space="preserve">EBIT margin </t>
  </si>
  <si>
    <t xml:space="preserve">Sales growth </t>
  </si>
  <si>
    <t>Dividend growth</t>
  </si>
  <si>
    <t>Net Profit margin</t>
  </si>
  <si>
    <t>SalesExpenses%sales</t>
  </si>
  <si>
    <t>Depreciation%sales</t>
  </si>
  <si>
    <t>OperatingIncome%sales</t>
  </si>
  <si>
    <t>Return on Capital Employed</t>
  </si>
  <si>
    <t xml:space="preserve">Retained earnings % </t>
  </si>
  <si>
    <t xml:space="preserve">Return on equity % </t>
  </si>
  <si>
    <t xml:space="preserve">Self sustained growth rate </t>
  </si>
  <si>
    <t>Interest Coverage ratio</t>
  </si>
  <si>
    <t>Debtor Turnover ratio</t>
  </si>
  <si>
    <t>Creditor Turnover ratio</t>
  </si>
  <si>
    <t>Inventory Turnover ratio</t>
  </si>
  <si>
    <t>Fixed Asset Turnover ratio</t>
  </si>
  <si>
    <t>Capital Turnover ratio</t>
  </si>
  <si>
    <t>Payable days</t>
  </si>
  <si>
    <t>Inventory days</t>
  </si>
  <si>
    <t>Cash Conversion Cycle</t>
  </si>
  <si>
    <t>Debtors days</t>
  </si>
  <si>
    <t>CFO/Sales</t>
  </si>
  <si>
    <t>CFO/Total Assets</t>
  </si>
  <si>
    <t xml:space="preserve">CFO/Total Debt </t>
  </si>
  <si>
    <t>EBT margin</t>
  </si>
  <si>
    <t>(in days)</t>
  </si>
  <si>
    <t>Mean</t>
  </si>
  <si>
    <t>Median</t>
  </si>
  <si>
    <t xml:space="preserve">Trend </t>
  </si>
  <si>
    <t xml:space="preserve">Year Weight </t>
  </si>
  <si>
    <t>Year</t>
  </si>
  <si>
    <t>EBITDA Growth</t>
  </si>
  <si>
    <t>EPS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</si>
</sst>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;[Red]&quot;₹&quot;\ #,##0.0"/>
    <numFmt numFmtId="167" formatCode="&quot;₹&quot;\ #,##0.0;\(&quot;₹&quot;\ #,##0.0\);\-"/>
    <numFmt numFmtId="168" formatCode="0.00&quot;x&quot;"/>
    <numFmt numFmtId="169" formatCode="0\ "/>
    <numFmt numFmtId="172" formatCode="yyyy"/>
    <numFmt numFmtId="173" formatCode="yyyy&quot;A&quot;"/>
    <numFmt numFmtId="174" formatCode="yyyy&quot;E&quot;"/>
    <numFmt numFmtId="175" formatCode="#,##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hair">
        <color rgb="FF002060"/>
      </top>
      <bottom/>
      <diagonal/>
    </border>
    <border>
      <left/>
      <right/>
      <top/>
      <bottom style="hair">
        <color rgb="FF002060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9" fontId="3" fillId="0" borderId="0" applyFont="0" applyFill="0" applyBorder="0" applyAlignment="0" applyProtection="0"/>
  </cellStyleXfs>
  <cellXfs count="60">
    <xf numFmtId="0" fontId="0" fillId="0" borderId="0" xfId="0"/>
    <xf numFmtId="43" fontId="1" fillId="0" borderId="0" xfId="1" applyFont="1" applyBorder="1"/>
    <xf numFmtId="0" fontId="1" fillId="0" borderId="0" xfId="0" applyFont="1"/>
    <xf numFmtId="43" fontId="0" fillId="0" borderId="0" xfId="1" applyFont="1" applyBorder="1"/>
    <xf numFmtId="43" fontId="3" fillId="0" borderId="0" xfId="1" applyFont="1" applyBorder="1"/>
    <xf numFmtId="165" fontId="2" fillId="3" borderId="0" xfId="0" applyNumberFormat="1" applyFont="1" applyFill="1" applyAlignment="1">
      <alignment horizontal="center"/>
    </xf>
    <xf numFmtId="165" fontId="2" fillId="3" borderId="0" xfId="1" applyNumberFormat="1" applyFont="1" applyFill="1" applyBorder="1"/>
    <xf numFmtId="165" fontId="6" fillId="0" borderId="0" xfId="1" applyNumberFormat="1" applyFont="1" applyFill="1" applyBorder="1"/>
    <xf numFmtId="0" fontId="0" fillId="0" borderId="0" xfId="0" applyAlignment="1">
      <alignment horizontal="left"/>
    </xf>
    <xf numFmtId="164" fontId="0" fillId="0" borderId="0" xfId="1" applyNumberFormat="1" applyFont="1" applyBorder="1"/>
    <xf numFmtId="0" fontId="5" fillId="4" borderId="0" xfId="0" applyFont="1" applyFill="1"/>
    <xf numFmtId="17" fontId="5" fillId="4" borderId="0" xfId="0" applyNumberFormat="1" applyFont="1" applyFill="1"/>
    <xf numFmtId="0" fontId="5" fillId="4" borderId="0" xfId="0" applyFont="1" applyFill="1" applyAlignment="1">
      <alignment horizontal="right"/>
    </xf>
    <xf numFmtId="166" fontId="0" fillId="0" borderId="0" xfId="0" applyNumberFormat="1"/>
    <xf numFmtId="0" fontId="7" fillId="0" borderId="0" xfId="0" applyFont="1"/>
    <xf numFmtId="10" fontId="7" fillId="0" borderId="0" xfId="4" applyNumberFormat="1" applyFont="1"/>
    <xf numFmtId="0" fontId="1" fillId="5" borderId="0" xfId="0" applyFont="1" applyFill="1"/>
    <xf numFmtId="0" fontId="0" fillId="5" borderId="0" xfId="0" applyFill="1"/>
    <xf numFmtId="0" fontId="0" fillId="6" borderId="0" xfId="0" applyFill="1"/>
    <xf numFmtId="0" fontId="5" fillId="6" borderId="0" xfId="0" applyFont="1" applyFill="1"/>
    <xf numFmtId="17" fontId="5" fillId="6" borderId="0" xfId="0" applyNumberFormat="1" applyFont="1" applyFill="1"/>
    <xf numFmtId="0" fontId="5" fillId="6" borderId="0" xfId="0" applyFont="1" applyFill="1" applyAlignment="1">
      <alignment horizontal="right"/>
    </xf>
    <xf numFmtId="167" fontId="0" fillId="0" borderId="0" xfId="0" applyNumberFormat="1"/>
    <xf numFmtId="167" fontId="0" fillId="0" borderId="0" xfId="0" applyNumberFormat="1" applyAlignment="1">
      <alignment horizontal="center"/>
    </xf>
    <xf numFmtId="167" fontId="1" fillId="0" borderId="0" xfId="0" applyNumberFormat="1" applyFont="1"/>
    <xf numFmtId="17" fontId="0" fillId="0" borderId="0" xfId="0" applyNumberFormat="1"/>
    <xf numFmtId="3" fontId="0" fillId="0" borderId="0" xfId="0" applyNumberFormat="1"/>
    <xf numFmtId="9" fontId="0" fillId="0" borderId="0" xfId="0" applyNumberFormat="1"/>
    <xf numFmtId="0" fontId="1" fillId="0" borderId="1" xfId="0" applyFont="1" applyBorder="1"/>
    <xf numFmtId="167" fontId="1" fillId="0" borderId="1" xfId="0" applyNumberFormat="1" applyFont="1" applyBorder="1"/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0" fontId="0" fillId="0" borderId="2" xfId="0" applyBorder="1"/>
    <xf numFmtId="10" fontId="0" fillId="0" borderId="2" xfId="0" applyNumberFormat="1" applyBorder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3" xfId="0" applyBorder="1"/>
    <xf numFmtId="10" fontId="0" fillId="0" borderId="3" xfId="0" applyNumberFormat="1" applyBorder="1" applyAlignment="1">
      <alignment horizontal="center"/>
    </xf>
    <xf numFmtId="10" fontId="0" fillId="0" borderId="0" xfId="4" applyNumberFormat="1" applyFont="1" applyBorder="1" applyAlignment="1">
      <alignment horizontal="center"/>
    </xf>
    <xf numFmtId="168" fontId="0" fillId="0" borderId="3" xfId="0" applyNumberFormat="1" applyBorder="1" applyAlignment="1">
      <alignment horizontal="center"/>
    </xf>
    <xf numFmtId="168" fontId="0" fillId="0" borderId="2" xfId="0" applyNumberFormat="1" applyBorder="1" applyAlignment="1">
      <alignment horizontal="center"/>
    </xf>
    <xf numFmtId="0" fontId="8" fillId="0" borderId="2" xfId="0" applyFont="1" applyBorder="1"/>
    <xf numFmtId="0" fontId="0" fillId="0" borderId="2" xfId="0" applyBorder="1" applyAlignment="1">
      <alignment horizontal="center"/>
    </xf>
    <xf numFmtId="169" fontId="0" fillId="0" borderId="0" xfId="0" applyNumberFormat="1" applyAlignment="1">
      <alignment horizontal="center"/>
    </xf>
    <xf numFmtId="169" fontId="0" fillId="0" borderId="3" xfId="0" applyNumberFormat="1" applyBorder="1" applyAlignment="1">
      <alignment horizontal="center"/>
    </xf>
    <xf numFmtId="10" fontId="0" fillId="0" borderId="0" xfId="4" applyNumberFormat="1" applyFont="1"/>
    <xf numFmtId="10" fontId="0" fillId="0" borderId="2" xfId="4" applyNumberFormat="1" applyFont="1" applyBorder="1" applyAlignment="1">
      <alignment horizontal="center"/>
    </xf>
    <xf numFmtId="10" fontId="0" fillId="0" borderId="3" xfId="4" applyNumberFormat="1" applyFont="1" applyBorder="1" applyAlignment="1">
      <alignment horizontal="center"/>
    </xf>
    <xf numFmtId="10" fontId="0" fillId="0" borderId="2" xfId="4" applyNumberFormat="1" applyFont="1" applyBorder="1"/>
    <xf numFmtId="17" fontId="5" fillId="4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2" borderId="0" xfId="3" applyNumberFormat="1" applyFont="1" applyBorder="1" applyAlignment="1">
      <alignment horizontal="center"/>
    </xf>
    <xf numFmtId="0" fontId="5" fillId="4" borderId="0" xfId="0" applyFont="1" applyFill="1" applyAlignment="1">
      <alignment horizontal="left"/>
    </xf>
    <xf numFmtId="172" fontId="0" fillId="0" borderId="0" xfId="0" applyNumberFormat="1" applyAlignment="1">
      <alignment horizontal="right"/>
    </xf>
    <xf numFmtId="173" fontId="0" fillId="0" borderId="0" xfId="0" applyNumberFormat="1" applyAlignment="1">
      <alignment horizontal="right"/>
    </xf>
    <xf numFmtId="175" fontId="0" fillId="0" borderId="0" xfId="0" applyNumberFormat="1"/>
    <xf numFmtId="0" fontId="0" fillId="7" borderId="0" xfId="0" applyFill="1" applyAlignment="1">
      <alignment horizontal="left"/>
    </xf>
    <xf numFmtId="174" fontId="0" fillId="7" borderId="0" xfId="0" applyNumberFormat="1" applyFill="1" applyAlignment="1">
      <alignment horizontal="right"/>
    </xf>
    <xf numFmtId="175" fontId="0" fillId="7" borderId="0" xfId="0" applyNumberFormat="1" applyFill="1"/>
    <xf numFmtId="10" fontId="0" fillId="7" borderId="0" xfId="4" applyNumberFormat="1" applyFont="1" applyFill="1"/>
  </cellXfs>
  <cellStyles count="5">
    <cellStyle name="Accent6" xfId="3" builtinId="49"/>
    <cellStyle name="Comma" xfId="1" builtinId="3"/>
    <cellStyle name="Hyperlink" xfId="2" builtinId="8"/>
    <cellStyle name="Normal" xfId="0" builtinId="0"/>
    <cellStyle name="Percent" xfId="4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773A2-6A37-41B6-A3B5-B00024BC75ED}">
  <sheetPr>
    <tabColor rgb="FF002060"/>
  </sheetPr>
  <dimension ref="A1"/>
  <sheetViews>
    <sheetView workbookViewId="0">
      <selection activeCell="F21" sqref="F21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7BF6F-DDFE-4815-AD8D-CA0C757DFF27}">
  <sheetPr>
    <tabColor rgb="FF002060"/>
    <pageSetUpPr autoPageBreaks="0"/>
  </sheetPr>
  <dimension ref="A2:N104"/>
  <sheetViews>
    <sheetView showGridLines="0" workbookViewId="0">
      <pane ySplit="3" topLeftCell="A4" activePane="bottomLeft" state="frozen"/>
      <selection pane="bottomLeft" activeCell="C18" sqref="C18"/>
    </sheetView>
  </sheetViews>
  <sheetFormatPr defaultRowHeight="14.5" x14ac:dyDescent="0.35"/>
  <cols>
    <col min="1" max="1" width="1.81640625" customWidth="1"/>
    <col min="2" max="2" width="27" bestFit="1" customWidth="1"/>
    <col min="3" max="4" width="8.36328125" bestFit="1" customWidth="1"/>
    <col min="5" max="6" width="9.54296875" bestFit="1" customWidth="1"/>
    <col min="7" max="7" width="8.36328125" bestFit="1" customWidth="1"/>
    <col min="8" max="12" width="9.54296875" bestFit="1" customWidth="1"/>
    <col min="13" max="13" width="8.54296875" bestFit="1" customWidth="1"/>
  </cols>
  <sheetData>
    <row r="2" spans="1:13" x14ac:dyDescent="0.35">
      <c r="B2" s="49" t="str">
        <f>"Historical Statement - " &amp; 'Data Sheet'!B1</f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</row>
    <row r="3" spans="1:13" x14ac:dyDescent="0.35">
      <c r="B3" s="10" t="s">
        <v>56</v>
      </c>
      <c r="C3" s="11">
        <f>IFERROR('Data Sheet'!B16,0)</f>
      </c>
      <c r="D3" s="11">
        <f>IFERROR('Data Sheet'!C16,0)</f>
      </c>
      <c r="E3" s="11">
        <f>IFERROR('Data Sheet'!D16,0)</f>
      </c>
      <c r="F3" s="11">
        <f>IFERROR('Data Sheet'!E16,0)</f>
      </c>
      <c r="G3" s="11">
        <f>IFERROR('Data Sheet'!F16,0)</f>
      </c>
      <c r="H3" s="11">
        <f>IFERROR('Data Sheet'!G16,0)</f>
      </c>
      <c r="I3" s="11">
        <f>IFERROR('Data Sheet'!H16,0)</f>
      </c>
      <c r="J3" s="11">
        <f>IFERROR('Data Sheet'!I16,0)</f>
      </c>
      <c r="K3" s="11">
        <f>IFERROR('Data Sheet'!J16,0)</f>
      </c>
      <c r="L3" s="11">
        <f>IFERROR('Data Sheet'!K16,0)</f>
      </c>
      <c r="M3" s="12" t="s">
        <v>57</v>
      </c>
    </row>
    <row r="4" spans="1:13" s="18" customFormat="1" x14ac:dyDescent="0.35">
      <c r="B4" s="19"/>
      <c r="C4" s="20"/>
      <c r="D4" s="20"/>
      <c r="E4" s="20"/>
      <c r="F4" s="20"/>
      <c r="G4" s="20"/>
      <c r="H4" s="20"/>
      <c r="I4" s="20"/>
      <c r="J4" s="20"/>
      <c r="K4" s="20"/>
      <c r="L4" s="20"/>
      <c r="M4" s="21"/>
    </row>
    <row r="5" spans="1:13" x14ac:dyDescent="0.35">
      <c r="A5" t="s">
        <v>58</v>
      </c>
      <c r="B5" s="16" t="s">
        <v>59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x14ac:dyDescent="0.35">
      <c r="B6" t="s">
        <v>1</v>
      </c>
      <c r="C6" s="22">
        <f>IFERROR('Data Sheet'!B17,0)</f>
      </c>
      <c r="D6" s="22">
        <f>IFERROR('Data Sheet'!C17,0)</f>
      </c>
      <c r="E6" s="22">
        <f>IFERROR('Data Sheet'!D17,0)</f>
      </c>
      <c r="F6" s="22">
        <f>IFERROR('Data Sheet'!E17,0)</f>
      </c>
      <c r="G6" s="22">
        <f>IFERROR('Data Sheet'!F17,0)</f>
      </c>
      <c r="H6" s="22">
        <f>IFERROR('Data Sheet'!G17,0)</f>
      </c>
      <c r="I6" s="22">
        <f>IFERROR('Data Sheet'!H17,0)</f>
      </c>
      <c r="J6" s="22">
        <f>IFERROR('Data Sheet'!I17,0)</f>
      </c>
      <c r="K6" s="22">
        <f>IFERROR('Data Sheet'!J17,0)</f>
      </c>
      <c r="L6" s="22">
        <f>IFERROR('Data Sheet'!K17,0)</f>
      </c>
      <c r="M6" s="22">
        <f>IFERROR(SUM('Data Sheet'!H42:K42),0)</f>
      </c>
    </row>
    <row r="7" spans="1:13" x14ac:dyDescent="0.35">
      <c r="B7" s="14" t="s">
        <v>60</v>
      </c>
      <c r="C7" s="23" t="s">
        <v>61</v>
      </c>
      <c r="D7" s="15">
        <f>D6/C6-1</f>
      </c>
      <c r="E7" s="15">
        <f t="shared" ref="E7:L7" si="0">E6/D6-1</f>
      </c>
      <c r="F7" s="15">
        <f t="shared" si="0"/>
      </c>
      <c r="G7" s="15">
        <f t="shared" si="0"/>
      </c>
      <c r="H7" s="15">
        <f t="shared" si="0"/>
      </c>
      <c r="I7" s="15">
        <f t="shared" si="0"/>
      </c>
      <c r="J7" s="15">
        <f t="shared" si="0"/>
      </c>
      <c r="K7" s="15">
        <f t="shared" si="0"/>
      </c>
      <c r="L7" s="15">
        <f t="shared" si="0"/>
      </c>
      <c r="M7" s="23" t="s">
        <v>61</v>
      </c>
    </row>
    <row r="9" spans="1:13" x14ac:dyDescent="0.35">
      <c r="B9" t="s">
        <v>62</v>
      </c>
      <c r="C9" s="22">
        <f>IFERROR(SUM('Data Sheet'!B20:B22)-1*'Data Sheet'!B19,0)</f>
      </c>
      <c r="D9" s="22">
        <f>IFERROR(SUM('Data Sheet'!C20:C22)-1*'Data Sheet'!C19,0)</f>
      </c>
      <c r="E9" s="22">
        <f>IFERROR(SUM('Data Sheet'!D20:D22)-1*'Data Sheet'!D19,0)</f>
      </c>
      <c r="F9" s="22">
        <f>IFERROR(SUM('Data Sheet'!E20:E22)-1*'Data Sheet'!E19,0)</f>
      </c>
      <c r="G9" s="22">
        <f>IFERROR(SUM('Data Sheet'!F20:F22)-1*'Data Sheet'!F19,0)</f>
      </c>
      <c r="H9" s="22">
        <f>IFERROR(SUM('Data Sheet'!G20:G22)-1*'Data Sheet'!G19,0)</f>
      </c>
      <c r="I9" s="22">
        <f>IFERROR(SUM('Data Sheet'!H20:H22)-1*'Data Sheet'!H19,0)</f>
      </c>
      <c r="J9" s="22">
        <f>IFERROR(SUM('Data Sheet'!I20:I22)-1*'Data Sheet'!I19,0)</f>
      </c>
      <c r="K9" s="22">
        <f>IFERROR(SUM('Data Sheet'!J20:J22)-1*'Data Sheet'!J19,0)</f>
      </c>
      <c r="L9" s="22">
        <f>IFERROR(SUM('Data Sheet'!K20:K22)-1*'Data Sheet'!K19,0)</f>
      </c>
      <c r="M9" s="22">
        <f>IFERROR(SUM('Data Sheet'!H43:K43),0)</f>
      </c>
    </row>
    <row r="10" spans="1:13" x14ac:dyDescent="0.35">
      <c r="B10" s="14" t="s">
        <v>63</v>
      </c>
      <c r="C10" s="15">
        <f>C9/C6</f>
      </c>
      <c r="D10" s="15">
        <f t="shared" ref="D10:M10" si="1">D9/D6</f>
      </c>
      <c r="E10" s="15">
        <f t="shared" si="1"/>
      </c>
      <c r="F10" s="15">
        <f t="shared" si="1"/>
      </c>
      <c r="G10" s="15">
        <f t="shared" si="1"/>
      </c>
      <c r="H10" s="15">
        <f t="shared" si="1"/>
      </c>
      <c r="I10" s="15">
        <f t="shared" si="1"/>
      </c>
      <c r="J10" s="15">
        <f t="shared" si="1"/>
      </c>
      <c r="K10" s="15">
        <f t="shared" si="1"/>
      </c>
      <c r="L10" s="15">
        <f t="shared" si="1"/>
      </c>
      <c r="M10" s="15">
        <f t="shared" si="1"/>
      </c>
    </row>
    <row r="12" spans="1:13" x14ac:dyDescent="0.35">
      <c r="B12" s="28" t="s">
        <v>64</v>
      </c>
      <c r="C12" s="29">
        <f>C6-C9</f>
      </c>
      <c r="D12" s="29">
        <f t="shared" ref="D12:M12" si="2">D6-D9</f>
      </c>
      <c r="E12" s="29">
        <f t="shared" si="2"/>
      </c>
      <c r="F12" s="29">
        <f t="shared" si="2"/>
      </c>
      <c r="G12" s="29">
        <f t="shared" si="2"/>
      </c>
      <c r="H12" s="29">
        <f t="shared" si="2"/>
      </c>
      <c r="I12" s="29">
        <f t="shared" si="2"/>
      </c>
      <c r="J12" s="29">
        <f t="shared" si="2"/>
      </c>
      <c r="K12" s="29">
        <f t="shared" si="2"/>
      </c>
      <c r="L12" s="29">
        <f t="shared" si="2"/>
      </c>
      <c r="M12" s="29">
        <f t="shared" si="2"/>
      </c>
    </row>
    <row r="13" spans="1:13" x14ac:dyDescent="0.35">
      <c r="B13" s="14" t="s">
        <v>72</v>
      </c>
      <c r="C13" s="15">
        <f>C12/C6</f>
      </c>
      <c r="D13" s="15">
        <f t="shared" ref="D13:M13" si="3">D12/D6</f>
      </c>
      <c r="E13" s="15">
        <f t="shared" si="3"/>
      </c>
      <c r="F13" s="15">
        <f t="shared" si="3"/>
      </c>
      <c r="G13" s="15">
        <f t="shared" si="3"/>
      </c>
      <c r="H13" s="15">
        <f t="shared" si="3"/>
      </c>
      <c r="I13" s="15">
        <f t="shared" si="3"/>
      </c>
      <c r="J13" s="15">
        <f t="shared" si="3"/>
      </c>
      <c r="K13" s="15">
        <f t="shared" si="3"/>
      </c>
      <c r="L13" s="15">
        <f t="shared" si="3"/>
      </c>
      <c r="M13" s="15">
        <f t="shared" si="3"/>
      </c>
    </row>
    <row r="15" spans="1:13" x14ac:dyDescent="0.35">
      <c r="B15" t="s">
        <v>65</v>
      </c>
      <c r="C15" s="22">
        <f>IFERROR(SUM('Data Sheet'!B23:B24),0)</f>
      </c>
      <c r="D15" s="22">
        <f>IFERROR(SUM('Data Sheet'!C23:C24),0)</f>
      </c>
      <c r="E15" s="22">
        <f>IFERROR(SUM('Data Sheet'!D23:D24),0)</f>
      </c>
      <c r="F15" s="22">
        <f>IFERROR(SUM('Data Sheet'!E23:E24),0)</f>
      </c>
      <c r="G15" s="22">
        <f>IFERROR(SUM('Data Sheet'!F23:F24),0)</f>
      </c>
      <c r="H15" s="22">
        <f>IFERROR(SUM('Data Sheet'!G23:G24),0)</f>
      </c>
      <c r="I15" s="22">
        <f>IFERROR(SUM('Data Sheet'!H23:H24),0)</f>
      </c>
      <c r="J15" s="22">
        <f>IFERROR(SUM('Data Sheet'!I23:I24),0)</f>
      </c>
      <c r="K15" s="22">
        <f>IFERROR(SUM('Data Sheet'!J23:J24),0)</f>
      </c>
      <c r="L15" s="22">
        <f>IFERROR(SUM('Data Sheet'!K23:K24),0)</f>
      </c>
      <c r="M15" s="22"/>
    </row>
    <row r="16" spans="1:13" x14ac:dyDescent="0.35">
      <c r="B16" s="14" t="s">
        <v>66</v>
      </c>
      <c r="C16" s="15">
        <f>C15/C6</f>
      </c>
      <c r="D16" s="15">
        <f t="shared" ref="D16:M16" si="4">D15/D6</f>
      </c>
      <c r="E16" s="15">
        <f t="shared" si="4"/>
      </c>
      <c r="F16" s="15">
        <f t="shared" si="4"/>
      </c>
      <c r="G16" s="15">
        <f t="shared" si="4"/>
      </c>
      <c r="H16" s="15">
        <f t="shared" si="4"/>
      </c>
      <c r="I16" s="15">
        <f t="shared" si="4"/>
      </c>
      <c r="J16" s="15">
        <f t="shared" si="4"/>
      </c>
      <c r="K16" s="15">
        <f t="shared" si="4"/>
      </c>
      <c r="L16" s="15">
        <f t="shared" si="4"/>
      </c>
      <c r="M16" s="15">
        <f t="shared" si="4"/>
      </c>
    </row>
    <row r="17" spans="2:14" x14ac:dyDescent="0.35">
      <c r="C17" s="13"/>
    </row>
    <row r="18" spans="2:14" x14ac:dyDescent="0.35">
      <c r="B18" s="28" t="s">
        <v>67</v>
      </c>
      <c r="C18" s="29">
        <f>C12-C15</f>
      </c>
      <c r="D18" s="29">
        <f t="shared" ref="D18:M18" si="5">D12-D15</f>
      </c>
      <c r="E18" s="29">
        <f t="shared" si="5"/>
      </c>
      <c r="F18" s="29">
        <f t="shared" si="5"/>
      </c>
      <c r="G18" s="29">
        <f t="shared" si="5"/>
      </c>
      <c r="H18" s="29">
        <f t="shared" si="5"/>
      </c>
      <c r="I18" s="29">
        <f t="shared" si="5"/>
      </c>
      <c r="J18" s="29">
        <f t="shared" si="5"/>
      </c>
      <c r="K18" s="29">
        <f t="shared" si="5"/>
      </c>
      <c r="L18" s="29">
        <f t="shared" si="5"/>
      </c>
      <c r="M18" s="29">
        <f t="shared" si="5"/>
      </c>
    </row>
    <row r="19" spans="2:14" x14ac:dyDescent="0.35">
      <c r="B19" s="14" t="s">
        <v>68</v>
      </c>
      <c r="C19" s="15">
        <f>C18/C6</f>
      </c>
      <c r="D19" s="15">
        <f t="shared" ref="D19:M19" si="6">D18/D6</f>
      </c>
      <c r="E19" s="15">
        <f t="shared" si="6"/>
      </c>
      <c r="F19" s="15">
        <f t="shared" si="6"/>
      </c>
      <c r="G19" s="15">
        <f t="shared" si="6"/>
      </c>
      <c r="H19" s="15">
        <f t="shared" si="6"/>
      </c>
      <c r="I19" s="15">
        <f t="shared" si="6"/>
      </c>
      <c r="J19" s="15">
        <f t="shared" si="6"/>
      </c>
      <c r="K19" s="15">
        <f t="shared" si="6"/>
      </c>
      <c r="L19" s="15">
        <f t="shared" si="6"/>
      </c>
      <c r="M19" s="15">
        <f t="shared" si="6"/>
      </c>
    </row>
    <row r="21" spans="2:14" x14ac:dyDescent="0.35">
      <c r="B21" t="s">
        <v>69</v>
      </c>
      <c r="C21" s="22">
        <f>IFERROR(('Data Sheet'!B27),0)</f>
      </c>
      <c r="D21" s="22">
        <f>IFERROR(('Data Sheet'!C27),0)</f>
      </c>
      <c r="E21" s="22">
        <f>IFERROR(('Data Sheet'!D27),0)</f>
      </c>
      <c r="F21" s="22">
        <f>IFERROR(('Data Sheet'!E27),0)</f>
      </c>
      <c r="G21" s="22">
        <f>IFERROR(('Data Sheet'!F27),0)</f>
      </c>
      <c r="H21" s="22">
        <f>IFERROR(('Data Sheet'!G27),0)</f>
      </c>
      <c r="I21" s="22">
        <f>IFERROR(('Data Sheet'!H27),0)</f>
      </c>
      <c r="J21" s="22">
        <f>IFERROR(('Data Sheet'!I27),0)</f>
      </c>
      <c r="K21" s="22">
        <f>IFERROR(('Data Sheet'!J27),0)</f>
      </c>
      <c r="L21" s="22">
        <f>IFERROR(('Data Sheet'!K27),0)</f>
      </c>
      <c r="M21" s="22">
        <f>IFERROR(SUM('Data Sheet'!H46:K46),0)</f>
      </c>
    </row>
    <row r="22" spans="2:14" x14ac:dyDescent="0.35">
      <c r="B22" s="14" t="s">
        <v>70</v>
      </c>
      <c r="C22" s="15">
        <f>C21/C6</f>
      </c>
      <c r="D22" s="15">
        <f t="shared" ref="D22:M22" si="7">D21/D6</f>
      </c>
      <c r="E22" s="15">
        <f t="shared" si="7"/>
      </c>
      <c r="F22" s="15">
        <f t="shared" si="7"/>
      </c>
      <c r="G22" s="15">
        <f t="shared" si="7"/>
      </c>
      <c r="H22" s="15">
        <f t="shared" si="7"/>
      </c>
      <c r="I22" s="15">
        <f t="shared" si="7"/>
      </c>
      <c r="J22" s="15">
        <f t="shared" si="7"/>
      </c>
      <c r="K22" s="15">
        <f t="shared" si="7"/>
      </c>
      <c r="L22" s="15">
        <f t="shared" si="7"/>
      </c>
      <c r="M22" s="15">
        <f t="shared" si="7"/>
      </c>
    </row>
    <row r="24" spans="2:14" x14ac:dyDescent="0.35">
      <c r="B24" s="4" t="s">
        <v>5</v>
      </c>
      <c r="C24" s="22">
        <f>IFERROR(('Data Sheet'!B26),0)</f>
      </c>
      <c r="D24" s="22">
        <f>IFERROR(('Data Sheet'!C26),0)</f>
      </c>
      <c r="E24" s="22">
        <f>IFERROR(('Data Sheet'!D26),0)</f>
      </c>
      <c r="F24" s="22">
        <f>IFERROR(('Data Sheet'!E26),0)</f>
      </c>
      <c r="G24" s="22">
        <f>IFERROR(('Data Sheet'!F26),0)</f>
      </c>
      <c r="H24" s="22">
        <f>IFERROR(('Data Sheet'!G26),0)</f>
      </c>
      <c r="I24" s="22">
        <f>IFERROR(('Data Sheet'!H26),0)</f>
      </c>
      <c r="J24" s="22">
        <f>IFERROR(('Data Sheet'!I26),0)</f>
      </c>
      <c r="K24" s="22">
        <f>IFERROR(('Data Sheet'!J26),0)</f>
      </c>
      <c r="L24" s="22">
        <f>IFERROR(('Data Sheet'!K26),0)</f>
      </c>
      <c r="M24" s="22">
        <f>IFERROR(SUM('Data Sheet'!H45:K45),0)</f>
      </c>
    </row>
    <row r="25" spans="2:14" x14ac:dyDescent="0.35">
      <c r="B25" s="14" t="s">
        <v>71</v>
      </c>
      <c r="C25" s="15">
        <f>C24/C6</f>
      </c>
      <c r="D25" s="15">
        <f t="shared" ref="D25:M25" si="8">D24/D6</f>
      </c>
      <c r="E25" s="15">
        <f t="shared" si="8"/>
      </c>
      <c r="F25" s="15">
        <f t="shared" si="8"/>
      </c>
      <c r="G25" s="15">
        <f t="shared" si="8"/>
      </c>
      <c r="H25" s="15">
        <f t="shared" si="8"/>
      </c>
      <c r="I25" s="15">
        <f t="shared" si="8"/>
      </c>
      <c r="J25" s="15">
        <f t="shared" si="8"/>
      </c>
      <c r="K25" s="15">
        <f t="shared" si="8"/>
      </c>
      <c r="L25" s="15">
        <f t="shared" si="8"/>
      </c>
      <c r="M25" s="15">
        <f t="shared" si="8"/>
      </c>
      <c r="N25" s="14"/>
    </row>
    <row r="27" spans="2:14" x14ac:dyDescent="0.35">
      <c r="B27" s="28" t="s">
        <v>73</v>
      </c>
      <c r="C27" s="29">
        <f>IFERROR(C18-SUM(C21,C24),0)</f>
      </c>
      <c r="D27" s="29">
        <f t="shared" ref="D27:M27" si="9">IFERROR(D18-SUM(D21,D24),0)</f>
      </c>
      <c r="E27" s="29">
        <f t="shared" si="9"/>
      </c>
      <c r="F27" s="29">
        <f t="shared" si="9"/>
      </c>
      <c r="G27" s="29">
        <f t="shared" si="9"/>
      </c>
      <c r="H27" s="29">
        <f t="shared" si="9"/>
      </c>
      <c r="I27" s="29">
        <f t="shared" si="9"/>
      </c>
      <c r="J27" s="29">
        <f t="shared" si="9"/>
      </c>
      <c r="K27" s="29">
        <f t="shared" si="9"/>
      </c>
      <c r="L27" s="29">
        <f t="shared" si="9"/>
      </c>
      <c r="M27" s="29">
        <f t="shared" si="9"/>
      </c>
    </row>
    <row r="28" spans="2:14" x14ac:dyDescent="0.35">
      <c r="B28" s="14" t="s">
        <v>74</v>
      </c>
      <c r="C28" s="15">
        <f>C27/C6</f>
      </c>
      <c r="D28" s="15">
        <f t="shared" ref="D28:M28" si="10">D27/D6</f>
      </c>
      <c r="E28" s="15">
        <f t="shared" si="10"/>
      </c>
      <c r="F28" s="15">
        <f t="shared" si="10"/>
      </c>
      <c r="G28" s="15">
        <f t="shared" si="10"/>
      </c>
      <c r="H28" s="15">
        <f t="shared" si="10"/>
      </c>
      <c r="I28" s="15">
        <f t="shared" si="10"/>
      </c>
      <c r="J28" s="15">
        <f t="shared" si="10"/>
      </c>
      <c r="K28" s="15">
        <f t="shared" si="10"/>
      </c>
      <c r="L28" s="15">
        <f t="shared" si="10"/>
      </c>
      <c r="M28" s="15">
        <f t="shared" si="10"/>
      </c>
    </row>
    <row r="30" spans="2:14" x14ac:dyDescent="0.35">
      <c r="B30" t="s">
        <v>75</v>
      </c>
      <c r="C30" s="22">
        <f>IFERROR('Data Sheet'!B29,0)</f>
      </c>
      <c r="D30" s="22">
        <f>IFERROR('Data Sheet'!C29,0)</f>
      </c>
      <c r="E30" s="22">
        <f>IFERROR('Data Sheet'!D29,0)</f>
      </c>
      <c r="F30" s="22">
        <f>IFERROR('Data Sheet'!E29,0)</f>
      </c>
      <c r="G30" s="22">
        <f>IFERROR('Data Sheet'!F29,0)</f>
      </c>
      <c r="H30" s="22">
        <f>IFERROR('Data Sheet'!G29,0)</f>
      </c>
      <c r="I30" s="22">
        <f>IFERROR('Data Sheet'!H29,0)</f>
      </c>
      <c r="J30" s="22">
        <f>IFERROR('Data Sheet'!I29,0)</f>
      </c>
      <c r="K30" s="22">
        <f>IFERROR('Data Sheet'!J29,0)</f>
      </c>
      <c r="L30" s="22">
        <f>IFERROR('Data Sheet'!K29,0)</f>
      </c>
      <c r="M30" s="22">
        <f>IFERROR(SUM('Data Sheet'!H48:K48),0)</f>
      </c>
    </row>
    <row r="31" spans="2:14" x14ac:dyDescent="0.35">
      <c r="B31" s="14" t="s">
        <v>76</v>
      </c>
      <c r="C31" s="15">
        <f>C30/C27</f>
      </c>
      <c r="D31" s="15">
        <f>D30/D27</f>
      </c>
      <c r="E31" s="15">
        <f t="shared" ref="E31:M31" si="11">E30/E27</f>
      </c>
      <c r="F31" s="15">
        <f>F30/F27</f>
      </c>
      <c r="G31" s="15">
        <f t="shared" si="11"/>
      </c>
      <c r="H31" s="15">
        <f t="shared" si="11"/>
      </c>
      <c r="I31" s="15">
        <f t="shared" si="11"/>
      </c>
      <c r="J31" s="15">
        <f t="shared" si="11"/>
      </c>
      <c r="K31" s="15">
        <f t="shared" si="11"/>
      </c>
      <c r="L31" s="15">
        <f t="shared" si="11"/>
      </c>
      <c r="M31" s="15">
        <f t="shared" si="11"/>
      </c>
    </row>
    <row r="33" spans="1:13" x14ac:dyDescent="0.35">
      <c r="B33" s="28" t="s">
        <v>77</v>
      </c>
      <c r="C33" s="29">
        <f>IFERROR((C27-C30),0)</f>
      </c>
      <c r="D33" s="29">
        <f t="shared" ref="D33:M33" si="12">IFERROR((D27-D30),0)</f>
      </c>
      <c r="E33" s="29">
        <f t="shared" si="12"/>
      </c>
      <c r="F33" s="29">
        <f t="shared" si="12"/>
      </c>
      <c r="G33" s="29">
        <f t="shared" si="12"/>
      </c>
      <c r="H33" s="29">
        <f t="shared" si="12"/>
      </c>
      <c r="I33" s="29">
        <f t="shared" si="12"/>
      </c>
      <c r="J33" s="29">
        <f t="shared" si="12"/>
      </c>
      <c r="K33" s="29">
        <f t="shared" si="12"/>
      </c>
      <c r="L33" s="29">
        <f t="shared" si="12"/>
      </c>
      <c r="M33" s="29">
        <f t="shared" si="12"/>
      </c>
    </row>
    <row r="34" spans="1:13" x14ac:dyDescent="0.35">
      <c r="B34" s="14" t="s">
        <v>78</v>
      </c>
      <c r="C34" s="15">
        <f>C33/C6</f>
      </c>
      <c r="D34" s="15">
        <f t="shared" ref="D34:M34" si="13">D33/D6</f>
      </c>
      <c r="E34" s="15">
        <f t="shared" si="13"/>
      </c>
      <c r="F34" s="15">
        <f t="shared" si="13"/>
      </c>
      <c r="G34" s="15">
        <f t="shared" si="13"/>
      </c>
      <c r="H34" s="15">
        <f t="shared" si="13"/>
      </c>
      <c r="I34" s="15">
        <f t="shared" si="13"/>
      </c>
      <c r="J34" s="15">
        <f t="shared" si="13"/>
      </c>
      <c r="K34" s="15">
        <f t="shared" si="13"/>
      </c>
      <c r="L34" s="15">
        <f t="shared" si="13"/>
      </c>
      <c r="M34" s="15">
        <f t="shared" si="13"/>
      </c>
    </row>
    <row r="36" spans="1:13" x14ac:dyDescent="0.35">
      <c r="B36" t="s">
        <v>79</v>
      </c>
      <c r="C36" s="22">
        <f>IFERROR('Data Sheet'!B93,0)</f>
      </c>
      <c r="D36" s="22">
        <f>IFERROR('Data Sheet'!C93,0)</f>
      </c>
      <c r="E36" s="22">
        <f>IFERROR('Data Sheet'!D93,0)</f>
      </c>
      <c r="F36" s="22">
        <f>IFERROR('Data Sheet'!E93,0)</f>
      </c>
      <c r="G36" s="22">
        <f>IFERROR('Data Sheet'!F93,0)</f>
      </c>
      <c r="H36" s="22">
        <f>IFERROR('Data Sheet'!G93,0)</f>
      </c>
      <c r="I36" s="22">
        <f>IFERROR('Data Sheet'!H93,0)</f>
      </c>
      <c r="J36" s="22">
        <f>IFERROR('Data Sheet'!I93,0)</f>
      </c>
      <c r="K36" s="22">
        <f>IFERROR('Data Sheet'!J93,0)</f>
      </c>
      <c r="L36" s="22">
        <f>IFERROR('Data Sheet'!K93,0)</f>
      </c>
      <c r="M36" s="23">
        <f>L36</f>
      </c>
    </row>
    <row r="37" spans="1:13" x14ac:dyDescent="0.35"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</row>
    <row r="38" spans="1:13" x14ac:dyDescent="0.35">
      <c r="B38" t="s">
        <v>80</v>
      </c>
      <c r="C38" s="22">
        <f>IFERROR(C33/C36,0)</f>
      </c>
      <c r="D38" s="22">
        <f t="shared" ref="D38:M38" si="14">IFERROR(D33/D36,0)</f>
      </c>
      <c r="E38" s="22">
        <f t="shared" si="14"/>
      </c>
      <c r="F38" s="22">
        <f t="shared" si="14"/>
      </c>
      <c r="G38" s="22">
        <f t="shared" si="14"/>
      </c>
      <c r="H38" s="22">
        <f t="shared" si="14"/>
      </c>
      <c r="I38" s="22">
        <f t="shared" si="14"/>
      </c>
      <c r="J38" s="22">
        <f t="shared" si="14"/>
      </c>
      <c r="K38" s="22">
        <f t="shared" si="14"/>
      </c>
      <c r="L38" s="22">
        <f t="shared" si="14"/>
      </c>
      <c r="M38" s="23">
        <f t="shared" si="14"/>
      </c>
    </row>
    <row r="39" spans="1:13" x14ac:dyDescent="0.35">
      <c r="B39" s="14" t="s">
        <v>82</v>
      </c>
      <c r="C39" s="15"/>
      <c r="D39" s="15">
        <f>IFERROR((D38/C38-1),0)</f>
      </c>
      <c r="E39" s="15">
        <f t="shared" ref="E39:M39" si="15">IFERROR((E38/D38-1),0)</f>
      </c>
      <c r="F39" s="15">
        <f t="shared" si="15"/>
      </c>
      <c r="G39" s="15">
        <f t="shared" si="15"/>
      </c>
      <c r="H39" s="15">
        <f t="shared" si="15"/>
      </c>
      <c r="I39" s="15">
        <f t="shared" si="15"/>
      </c>
      <c r="J39" s="15">
        <f t="shared" si="15"/>
      </c>
      <c r="K39" s="15">
        <f t="shared" si="15"/>
      </c>
      <c r="L39" s="15">
        <f t="shared" si="15"/>
      </c>
      <c r="M39" s="15">
        <f t="shared" si="15"/>
      </c>
    </row>
    <row r="40" spans="1:13" x14ac:dyDescent="0.35"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3"/>
    </row>
    <row r="41" spans="1:13" x14ac:dyDescent="0.35">
      <c r="B41" t="s">
        <v>81</v>
      </c>
      <c r="C41" s="22">
        <f>IFERROR(('Data Sheet'!B31/C36),0)</f>
      </c>
      <c r="D41" s="22">
        <f>IFERROR(('Data Sheet'!C31/D36),0)</f>
      </c>
      <c r="E41" s="22">
        <f>IFERROR(('Data Sheet'!D31/E36),0)</f>
      </c>
      <c r="F41" s="22">
        <f>IFERROR(('Data Sheet'!E31/F36),0)</f>
      </c>
      <c r="G41" s="22">
        <f>IFERROR(('Data Sheet'!F31/G36),0)</f>
      </c>
      <c r="H41" s="22">
        <f>IFERROR(('Data Sheet'!G31/H36),0)</f>
      </c>
      <c r="I41" s="22">
        <f>IFERROR(('Data Sheet'!H31/I36),0)</f>
      </c>
      <c r="J41" s="22">
        <f>IFERROR(('Data Sheet'!I31/J36),0)</f>
      </c>
      <c r="K41" s="22">
        <f>IFERROR(('Data Sheet'!J31/K36),0)</f>
      </c>
      <c r="L41" s="22">
        <f>IFERROR(('Data Sheet'!K31/L36),0)</f>
      </c>
      <c r="M41" s="23">
        <f>IFERROR(('Data Sheet'!L31/M36),0)</f>
      </c>
    </row>
    <row r="42" spans="1:13" x14ac:dyDescent="0.35">
      <c r="B42" s="14" t="s">
        <v>83</v>
      </c>
      <c r="C42" s="15">
        <f>IFERROR((C41/C38),0)</f>
      </c>
      <c r="D42" s="15">
        <f t="shared" ref="D42:M42" si="16">IFERROR((D41/D38),0)</f>
      </c>
      <c r="E42" s="15">
        <f t="shared" si="16"/>
      </c>
      <c r="F42" s="15">
        <f t="shared" si="16"/>
      </c>
      <c r="G42" s="15">
        <f t="shared" si="16"/>
      </c>
      <c r="H42" s="15">
        <f t="shared" si="16"/>
      </c>
      <c r="I42" s="15">
        <f t="shared" si="16"/>
      </c>
      <c r="J42" s="15">
        <f t="shared" si="16"/>
      </c>
      <c r="K42" s="15">
        <f t="shared" si="16"/>
      </c>
      <c r="L42" s="15">
        <f t="shared" si="16"/>
      </c>
      <c r="M42" s="15">
        <f t="shared" si="16"/>
      </c>
    </row>
    <row r="44" spans="1:13" x14ac:dyDescent="0.35">
      <c r="B44" t="s">
        <v>84</v>
      </c>
      <c r="C44" s="15">
        <f>IFERROR(IF(C38&gt;C41,1-C42,0),0)</f>
      </c>
      <c r="D44" s="15">
        <f t="shared" ref="D44:M44" si="17">IFERROR(IF(D38&gt;D41,1-D42,0),0)</f>
      </c>
      <c r="E44" s="15">
        <f t="shared" si="17"/>
      </c>
      <c r="F44" s="15">
        <f t="shared" si="17"/>
      </c>
      <c r="G44" s="15">
        <f t="shared" si="17"/>
      </c>
      <c r="H44" s="15">
        <f t="shared" si="17"/>
      </c>
      <c r="I44" s="15">
        <f t="shared" si="17"/>
      </c>
      <c r="J44" s="15">
        <f t="shared" si="17"/>
      </c>
      <c r="K44" s="15">
        <f t="shared" si="17"/>
      </c>
      <c r="L44" s="15">
        <f t="shared" si="17"/>
      </c>
      <c r="M44" s="15">
        <f t="shared" si="17"/>
      </c>
    </row>
    <row r="46" spans="1:13" x14ac:dyDescent="0.35">
      <c r="A46" t="s">
        <v>58</v>
      </c>
      <c r="B46" s="16" t="s">
        <v>85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x14ac:dyDescent="0.35">
      <c r="B47" t="s">
        <v>11</v>
      </c>
      <c r="C47" s="22">
        <f>IFERROR('Data Sheet'!B57,0)</f>
      </c>
      <c r="D47" s="22">
        <f>IFERROR('Data Sheet'!C57,0)</f>
      </c>
      <c r="E47" s="22">
        <f>IFERROR('Data Sheet'!D57,0)</f>
      </c>
      <c r="F47" s="22">
        <f>IFERROR('Data Sheet'!E57,0)</f>
      </c>
      <c r="G47" s="22">
        <f>IFERROR('Data Sheet'!F57,0)</f>
      </c>
      <c r="H47" s="22">
        <f>IFERROR('Data Sheet'!G57,0)</f>
      </c>
      <c r="I47" s="22">
        <f>IFERROR('Data Sheet'!H57,0)</f>
      </c>
      <c r="J47" s="22">
        <f>IFERROR('Data Sheet'!I57,0)</f>
      </c>
      <c r="K47" s="22">
        <f>IFERROR('Data Sheet'!J57,0)</f>
      </c>
      <c r="L47" s="22">
        <f>IFERROR('Data Sheet'!K57,0)</f>
      </c>
    </row>
    <row r="48" spans="1:13" x14ac:dyDescent="0.35">
      <c r="B48" t="s">
        <v>12</v>
      </c>
      <c r="C48" s="22">
        <f>IFERROR('Data Sheet'!B58,0)</f>
      </c>
      <c r="D48" s="22">
        <f>IFERROR('Data Sheet'!C58,0)</f>
      </c>
      <c r="E48" s="22">
        <f>IFERROR('Data Sheet'!D58,0)</f>
      </c>
      <c r="F48" s="22">
        <f>IFERROR('Data Sheet'!E58,0)</f>
      </c>
      <c r="G48" s="22">
        <f>IFERROR('Data Sheet'!F58,0)</f>
      </c>
      <c r="H48" s="22">
        <f>IFERROR('Data Sheet'!G58,0)</f>
      </c>
      <c r="I48" s="22">
        <f>IFERROR('Data Sheet'!H58,0)</f>
      </c>
      <c r="J48" s="22">
        <f>IFERROR('Data Sheet'!I58,0)</f>
      </c>
      <c r="K48" s="22">
        <f>IFERROR('Data Sheet'!J58,0)</f>
      </c>
      <c r="L48" s="22">
        <f>IFERROR('Data Sheet'!K58,0)</f>
      </c>
    </row>
    <row r="49" spans="2:12" x14ac:dyDescent="0.35">
      <c r="B49" t="s">
        <v>37</v>
      </c>
      <c r="C49" s="22">
        <f>IFERROR('Data Sheet'!B59,0)</f>
      </c>
      <c r="D49" s="22">
        <f>IFERROR('Data Sheet'!C59,0)</f>
      </c>
      <c r="E49" s="22">
        <f>IFERROR('Data Sheet'!D59,0)</f>
      </c>
      <c r="F49" s="22">
        <f>IFERROR('Data Sheet'!E59,0)</f>
      </c>
      <c r="G49" s="22">
        <f>IFERROR('Data Sheet'!F59,0)</f>
      </c>
      <c r="H49" s="22">
        <f>IFERROR('Data Sheet'!G59,0)</f>
      </c>
      <c r="I49" s="22">
        <f>IFERROR('Data Sheet'!H59,0)</f>
      </c>
      <c r="J49" s="22">
        <f>IFERROR('Data Sheet'!I59,0)</f>
      </c>
      <c r="K49" s="22">
        <f>IFERROR('Data Sheet'!J59,0)</f>
      </c>
      <c r="L49" s="22">
        <f>IFERROR('Data Sheet'!K59,0)</f>
      </c>
    </row>
    <row r="50" spans="2:12" x14ac:dyDescent="0.35">
      <c r="B50" t="s">
        <v>38</v>
      </c>
      <c r="C50" s="22">
        <f>IFERROR('Data Sheet'!B60,0)</f>
      </c>
      <c r="D50" s="22">
        <f>IFERROR('Data Sheet'!C60,0)</f>
      </c>
      <c r="E50" s="22">
        <f>IFERROR('Data Sheet'!D60,0)</f>
      </c>
      <c r="F50" s="22">
        <f>IFERROR('Data Sheet'!E60,0)</f>
      </c>
      <c r="G50" s="22">
        <f>IFERROR('Data Sheet'!F60,0)</f>
      </c>
      <c r="H50" s="22">
        <f>IFERROR('Data Sheet'!G60,0)</f>
      </c>
      <c r="I50" s="22">
        <f>IFERROR('Data Sheet'!H60,0)</f>
      </c>
      <c r="J50" s="22">
        <f>IFERROR('Data Sheet'!I60,0)</f>
      </c>
      <c r="K50" s="22">
        <f>IFERROR('Data Sheet'!J60,0)</f>
      </c>
      <c r="L50" s="22">
        <f>IFERROR('Data Sheet'!K60,0)</f>
      </c>
    </row>
    <row r="51" spans="2:12" s="2" customFormat="1" x14ac:dyDescent="0.35">
      <c r="B51" s="28" t="s">
        <v>86</v>
      </c>
      <c r="C51" s="29">
        <f>IFERROR('Data Sheet'!B61,0)</f>
      </c>
      <c r="D51" s="29">
        <f>IFERROR('Data Sheet'!C61,0)</f>
      </c>
      <c r="E51" s="29">
        <f>IFERROR('Data Sheet'!D61,0)</f>
      </c>
      <c r="F51" s="29">
        <f>IFERROR('Data Sheet'!E61,0)</f>
      </c>
      <c r="G51" s="29">
        <f>IFERROR('Data Sheet'!F61,0)</f>
      </c>
      <c r="H51" s="29">
        <f>IFERROR('Data Sheet'!G61,0)</f>
      </c>
      <c r="I51" s="29">
        <f>IFERROR('Data Sheet'!H61,0)</f>
      </c>
      <c r="J51" s="29">
        <f>IFERROR('Data Sheet'!I61,0)</f>
      </c>
      <c r="K51" s="29">
        <f>IFERROR('Data Sheet'!J61,0)</f>
      </c>
      <c r="L51" s="29">
        <f>IFERROR('Data Sheet'!K61,0)</f>
      </c>
    </row>
    <row r="53" spans="2:12" x14ac:dyDescent="0.35">
      <c r="B53" t="s">
        <v>87</v>
      </c>
      <c r="C53" s="22">
        <f>IFERROR('Data Sheet'!B62,0)</f>
      </c>
      <c r="D53" s="22">
        <f>IFERROR('Data Sheet'!C62,0)</f>
      </c>
      <c r="E53" s="22">
        <f>IFERROR('Data Sheet'!D62,0)</f>
      </c>
      <c r="F53" s="22">
        <f>IFERROR('Data Sheet'!E62,0)</f>
      </c>
      <c r="G53" s="22">
        <f>IFERROR('Data Sheet'!F62,0)</f>
      </c>
      <c r="H53" s="22">
        <f>IFERROR('Data Sheet'!G62,0)</f>
      </c>
      <c r="I53" s="22">
        <f>IFERROR('Data Sheet'!H62,0)</f>
      </c>
      <c r="J53" s="22">
        <f>IFERROR('Data Sheet'!I62,0)</f>
      </c>
      <c r="K53" s="22">
        <f>IFERROR('Data Sheet'!J62,0)</f>
      </c>
      <c r="L53" s="22">
        <f>IFERROR('Data Sheet'!K62,0)</f>
      </c>
    </row>
    <row r="54" spans="2:12" x14ac:dyDescent="0.35">
      <c r="B54" t="s">
        <v>15</v>
      </c>
      <c r="C54" s="22">
        <f>IFERROR('Data Sheet'!B63,0)</f>
      </c>
      <c r="D54" s="22">
        <f>IFERROR('Data Sheet'!C63,0)</f>
      </c>
      <c r="E54" s="22">
        <f>IFERROR('Data Sheet'!D63,0)</f>
      </c>
      <c r="F54" s="22">
        <f>IFERROR('Data Sheet'!E63,0)</f>
      </c>
      <c r="G54" s="22">
        <f>IFERROR('Data Sheet'!F63,0)</f>
      </c>
      <c r="H54" s="22">
        <f>IFERROR('Data Sheet'!G63,0)</f>
      </c>
      <c r="I54" s="22">
        <f>IFERROR('Data Sheet'!H63,0)</f>
      </c>
      <c r="J54" s="22">
        <f>IFERROR('Data Sheet'!I63,0)</f>
      </c>
      <c r="K54" s="22">
        <f>IFERROR('Data Sheet'!J63,0)</f>
      </c>
      <c r="L54" s="22">
        <f>IFERROR('Data Sheet'!K63,0)</f>
      </c>
    </row>
    <row r="55" spans="2:12" x14ac:dyDescent="0.35">
      <c r="B55" t="s">
        <v>16</v>
      </c>
      <c r="C55" s="22">
        <f>IFERROR('Data Sheet'!B64,0)</f>
      </c>
      <c r="D55" s="22">
        <f>IFERROR('Data Sheet'!C64,0)</f>
      </c>
      <c r="E55" s="22">
        <f>IFERROR('Data Sheet'!D64,0)</f>
      </c>
      <c r="F55" s="22">
        <f>IFERROR('Data Sheet'!E64,0)</f>
      </c>
      <c r="G55" s="22">
        <f>IFERROR('Data Sheet'!F64,0)</f>
      </c>
      <c r="H55" s="22">
        <f>IFERROR('Data Sheet'!G64,0)</f>
      </c>
      <c r="I55" s="22">
        <f>IFERROR('Data Sheet'!H64,0)</f>
      </c>
      <c r="J55" s="22">
        <f>IFERROR('Data Sheet'!I64,0)</f>
      </c>
      <c r="K55" s="22">
        <f>IFERROR('Data Sheet'!J64,0)</f>
      </c>
      <c r="L55" s="22">
        <f>IFERROR('Data Sheet'!K64,0)</f>
      </c>
    </row>
    <row r="56" spans="2:12" x14ac:dyDescent="0.35">
      <c r="B56" t="s">
        <v>39</v>
      </c>
      <c r="C56" s="22">
        <f>IFERROR('Data Sheet'!B65-SUM('Data Sheet'!B67:B69),0)</f>
      </c>
      <c r="D56" s="22">
        <f>IFERROR('Data Sheet'!C65-SUM('Data Sheet'!C67:C69),0)</f>
      </c>
      <c r="E56" s="22">
        <f>IFERROR('Data Sheet'!D65-SUM('Data Sheet'!D67:D69),0)</f>
      </c>
      <c r="F56" s="22">
        <f>IFERROR('Data Sheet'!E65-SUM('Data Sheet'!E67:E69),0)</f>
      </c>
      <c r="G56" s="22">
        <f>IFERROR('Data Sheet'!F65-SUM('Data Sheet'!F67:F69),0)</f>
      </c>
      <c r="H56" s="22">
        <f>IFERROR('Data Sheet'!G65-SUM('Data Sheet'!G67:G69),0)</f>
      </c>
      <c r="I56" s="22">
        <f>IFERROR('Data Sheet'!H65-SUM('Data Sheet'!H67:H69),0)</f>
      </c>
      <c r="J56" s="22">
        <f>IFERROR('Data Sheet'!I65-SUM('Data Sheet'!I67:I69),0)</f>
      </c>
      <c r="K56" s="22">
        <f>IFERROR('Data Sheet'!J65-SUM('Data Sheet'!J67:J69),0)</f>
      </c>
      <c r="L56" s="22">
        <f>IFERROR('Data Sheet'!K65-SUM('Data Sheet'!K67:K69),0)</f>
      </c>
    </row>
    <row r="57" spans="2:12" s="2" customFormat="1" x14ac:dyDescent="0.35">
      <c r="B57" s="28" t="s">
        <v>88</v>
      </c>
      <c r="C57" s="29">
        <f>IFERROR(SUM(C53:C56),0)</f>
      </c>
      <c r="D57" s="29">
        <f t="shared" ref="D57:L57" si="18">IFERROR(SUM(D53:D56),0)</f>
      </c>
      <c r="E57" s="29">
        <f t="shared" si="18"/>
      </c>
      <c r="F57" s="29">
        <f t="shared" si="18"/>
      </c>
      <c r="G57" s="29">
        <f t="shared" si="18"/>
      </c>
      <c r="H57" s="29">
        <f t="shared" si="18"/>
      </c>
      <c r="I57" s="29">
        <f t="shared" si="18"/>
      </c>
      <c r="J57" s="29">
        <f t="shared" si="18"/>
      </c>
      <c r="K57" s="29">
        <f t="shared" si="18"/>
      </c>
      <c r="L57" s="29">
        <f t="shared" si="18"/>
      </c>
    </row>
    <row r="59" spans="2:12" x14ac:dyDescent="0.35">
      <c r="B59" t="s">
        <v>44</v>
      </c>
      <c r="C59" s="22">
        <f>IFERROR('Data Sheet'!B67,0)</f>
      </c>
      <c r="D59" s="22">
        <f>IFERROR('Data Sheet'!C67,0)</f>
      </c>
      <c r="E59" s="22">
        <f>IFERROR('Data Sheet'!D67,0)</f>
      </c>
      <c r="F59" s="22">
        <f>IFERROR('Data Sheet'!E67,0)</f>
      </c>
      <c r="G59" s="22">
        <f>IFERROR('Data Sheet'!F67,0)</f>
      </c>
      <c r="H59" s="22">
        <f>IFERROR('Data Sheet'!G67,0)</f>
      </c>
      <c r="I59" s="22">
        <f>IFERROR('Data Sheet'!H67,0)</f>
      </c>
      <c r="J59" s="22">
        <f>IFERROR('Data Sheet'!I67,0)</f>
      </c>
      <c r="K59" s="22">
        <f>IFERROR('Data Sheet'!J67,0)</f>
      </c>
      <c r="L59" s="22">
        <f>IFERROR('Data Sheet'!K67,0)</f>
      </c>
    </row>
    <row r="60" spans="2:12" x14ac:dyDescent="0.35">
      <c r="B60" t="s">
        <v>30</v>
      </c>
      <c r="C60" s="22">
        <f>IFERROR('Data Sheet'!B68,0)</f>
      </c>
      <c r="D60" s="22">
        <f>IFERROR('Data Sheet'!C68,0)</f>
      </c>
      <c r="E60" s="22">
        <f>IFERROR('Data Sheet'!D68,0)</f>
      </c>
      <c r="F60" s="22">
        <f>IFERROR('Data Sheet'!E68,0)</f>
      </c>
      <c r="G60" s="22">
        <f>IFERROR('Data Sheet'!F68,0)</f>
      </c>
      <c r="H60" s="22">
        <f>IFERROR('Data Sheet'!G68,0)</f>
      </c>
      <c r="I60" s="22">
        <f>IFERROR('Data Sheet'!H68,0)</f>
      </c>
      <c r="J60" s="22">
        <f>IFERROR('Data Sheet'!I68,0)</f>
      </c>
      <c r="K60" s="22">
        <f>IFERROR('Data Sheet'!J68,0)</f>
      </c>
      <c r="L60" s="22">
        <f>IFERROR('Data Sheet'!K68,0)</f>
      </c>
    </row>
    <row r="61" spans="2:12" x14ac:dyDescent="0.35">
      <c r="B61" t="s">
        <v>53</v>
      </c>
      <c r="C61" s="22">
        <f>IFERROR('Data Sheet'!B69,0)</f>
      </c>
      <c r="D61" s="22">
        <f>IFERROR('Data Sheet'!C69,0)</f>
      </c>
      <c r="E61" s="22">
        <f>IFERROR('Data Sheet'!D69,0)</f>
      </c>
      <c r="F61" s="22">
        <f>IFERROR('Data Sheet'!E69,0)</f>
      </c>
      <c r="G61" s="22">
        <f>IFERROR('Data Sheet'!F69,0)</f>
      </c>
      <c r="H61" s="22">
        <f>IFERROR('Data Sheet'!G69,0)</f>
      </c>
      <c r="I61" s="22">
        <f>IFERROR('Data Sheet'!H69,0)</f>
      </c>
      <c r="J61" s="22">
        <f>IFERROR('Data Sheet'!I69,0)</f>
      </c>
      <c r="K61" s="22">
        <f>IFERROR('Data Sheet'!J69,0)</f>
      </c>
      <c r="L61" s="22">
        <f>IFERROR('Data Sheet'!K69,0)</f>
      </c>
    </row>
    <row r="62" spans="2:12" x14ac:dyDescent="0.35">
      <c r="B62" s="28" t="s">
        <v>89</v>
      </c>
      <c r="C62" s="29">
        <f>IFERROR(SUM(C59:C61),0)</f>
      </c>
      <c r="D62" s="29">
        <f t="shared" ref="D62:L62" si="19">IFERROR(SUM(D59:D61),0)</f>
      </c>
      <c r="E62" s="29">
        <f t="shared" si="19"/>
      </c>
      <c r="F62" s="29">
        <f t="shared" si="19"/>
      </c>
      <c r="G62" s="29">
        <f t="shared" si="19"/>
      </c>
      <c r="H62" s="29">
        <f t="shared" si="19"/>
      </c>
      <c r="I62" s="29">
        <f t="shared" si="19"/>
      </c>
      <c r="J62" s="29">
        <f t="shared" si="19"/>
      </c>
      <c r="K62" s="29">
        <f t="shared" si="19"/>
      </c>
      <c r="L62" s="29">
        <f t="shared" si="19"/>
      </c>
    </row>
    <row r="64" spans="2:12" s="2" customFormat="1" x14ac:dyDescent="0.35">
      <c r="B64" s="28" t="s">
        <v>90</v>
      </c>
      <c r="C64" s="29">
        <f>IFERROR((C62+C57),0)</f>
      </c>
      <c r="D64" s="29">
        <f t="shared" ref="D64:L64" si="20">IFERROR((D62+D57),0)</f>
      </c>
      <c r="E64" s="29">
        <f t="shared" si="20"/>
      </c>
      <c r="F64" s="29">
        <f t="shared" si="20"/>
      </c>
      <c r="G64" s="29">
        <f t="shared" si="20"/>
      </c>
      <c r="H64" s="29">
        <f t="shared" si="20"/>
      </c>
      <c r="I64" s="29">
        <f t="shared" si="20"/>
      </c>
      <c r="J64" s="29">
        <f t="shared" si="20"/>
      </c>
      <c r="K64" s="29">
        <f t="shared" si="20"/>
      </c>
      <c r="L64" s="29">
        <f t="shared" si="20"/>
      </c>
    </row>
    <row r="66" spans="1:13" x14ac:dyDescent="0.35">
      <c r="B66" s="2" t="s">
        <v>91</v>
      </c>
      <c r="C66" t="b">
        <f>C64=C51</f>
      </c>
      <c r="D66" t="b">
        <f t="shared" ref="D66:L66" si="21">D64=D51</f>
      </c>
      <c r="E66" t="b">
        <f t="shared" si="21"/>
      </c>
      <c r="F66" t="b">
        <f t="shared" si="21"/>
      </c>
      <c r="G66" t="b">
        <f t="shared" si="21"/>
      </c>
      <c r="H66" t="b">
        <f t="shared" si="21"/>
      </c>
      <c r="I66" t="b">
        <f t="shared" si="21"/>
      </c>
      <c r="J66" t="b">
        <f t="shared" si="21"/>
      </c>
      <c r="K66" t="b">
        <f t="shared" si="21"/>
      </c>
      <c r="L66" t="b">
        <f t="shared" si="21"/>
      </c>
    </row>
    <row r="68" spans="1:13" x14ac:dyDescent="0.35">
      <c r="A68" t="s">
        <v>58</v>
      </c>
      <c r="B68" s="16" t="s">
        <v>121</v>
      </c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x14ac:dyDescent="0.35">
      <c r="B69" s="2" t="s">
        <v>122</v>
      </c>
    </row>
    <row r="70" spans="1:13" x14ac:dyDescent="0.35">
      <c r="B70" t="s">
        <v>92</v>
      </c>
      <c r="C70" s="22">
        <f>IFERROR('Cash Flow Data'!E4,0)</f>
      </c>
      <c r="D70" s="22">
        <f>IFERROR('Cash Flow Data'!F4,0)</f>
      </c>
      <c r="E70" s="22">
        <f>IFERROR('Cash Flow Data'!G4,0)</f>
      </c>
      <c r="F70" s="22">
        <f>IFERROR('Cash Flow Data'!H4,0)</f>
      </c>
      <c r="G70" s="22">
        <f>IFERROR('Cash Flow Data'!I4,0)</f>
      </c>
      <c r="H70" s="22">
        <f>IFERROR('Cash Flow Data'!J4,0)</f>
      </c>
      <c r="I70" s="22">
        <f>IFERROR('Cash Flow Data'!K4,0)</f>
      </c>
      <c r="J70" s="22">
        <f>IFERROR('Cash Flow Data'!L4,0)</f>
      </c>
      <c r="K70" s="22">
        <f>IFERROR('Cash Flow Data'!M4,0)</f>
      </c>
      <c r="L70" s="22">
        <f>IFERROR('Cash Flow Data'!N4,0)</f>
      </c>
    </row>
    <row r="71" spans="1:13" x14ac:dyDescent="0.35">
      <c r="B71" t="s">
        <v>44</v>
      </c>
      <c r="C71" s="22">
        <f>IFERROR('Cash Flow Data'!E5,0)</f>
      </c>
      <c r="D71" s="22">
        <f>IFERROR('Cash Flow Data'!F5,0)</f>
      </c>
      <c r="E71" s="22">
        <f>IFERROR('Cash Flow Data'!G5,0)</f>
      </c>
      <c r="F71" s="22">
        <f>IFERROR('Cash Flow Data'!H5,0)</f>
      </c>
      <c r="G71" s="22">
        <f>IFERROR('Cash Flow Data'!I5,0)</f>
      </c>
      <c r="H71" s="22">
        <f>IFERROR('Cash Flow Data'!J5,0)</f>
      </c>
      <c r="I71" s="22">
        <f>IFERROR('Cash Flow Data'!K5,0)</f>
      </c>
      <c r="J71" s="22">
        <f>IFERROR('Cash Flow Data'!L5,0)</f>
      </c>
      <c r="K71" s="22">
        <f>IFERROR('Cash Flow Data'!M5,0)</f>
      </c>
      <c r="L71" s="22">
        <f>IFERROR('Cash Flow Data'!N5,0)</f>
      </c>
    </row>
    <row r="72" spans="1:13" x14ac:dyDescent="0.35">
      <c r="B72" t="s">
        <v>30</v>
      </c>
      <c r="C72" s="22">
        <f>IFERROR('Cash Flow Data'!E6,0)</f>
      </c>
      <c r="D72" s="22">
        <f>IFERROR('Cash Flow Data'!F6,0)</f>
      </c>
      <c r="E72" s="22">
        <f>IFERROR('Cash Flow Data'!G6,0)</f>
      </c>
      <c r="F72" s="22">
        <f>IFERROR('Cash Flow Data'!H6,0)</f>
      </c>
      <c r="G72" s="22">
        <f>IFERROR('Cash Flow Data'!I6,0)</f>
      </c>
      <c r="H72" s="22">
        <f>IFERROR('Cash Flow Data'!J6,0)</f>
      </c>
      <c r="I72" s="22">
        <f>IFERROR('Cash Flow Data'!K6,0)</f>
      </c>
      <c r="J72" s="22">
        <f>IFERROR('Cash Flow Data'!L6,0)</f>
      </c>
      <c r="K72" s="22">
        <f>IFERROR('Cash Flow Data'!M6,0)</f>
      </c>
      <c r="L72" s="22">
        <f>IFERROR('Cash Flow Data'!N6,0)</f>
      </c>
    </row>
    <row r="73" spans="1:13" x14ac:dyDescent="0.35">
      <c r="B73" t="s">
        <v>93</v>
      </c>
      <c r="C73" s="22">
        <f>IFERROR('Cash Flow Data'!E7,0)</f>
      </c>
      <c r="D73" s="22">
        <f>IFERROR('Cash Flow Data'!F7,0)</f>
      </c>
      <c r="E73" s="22">
        <f>IFERROR('Cash Flow Data'!G7,0)</f>
      </c>
      <c r="F73" s="22">
        <f>IFERROR('Cash Flow Data'!H7,0)</f>
      </c>
      <c r="G73" s="22">
        <f>IFERROR('Cash Flow Data'!I7,0)</f>
      </c>
      <c r="H73" s="22">
        <f>IFERROR('Cash Flow Data'!J7,0)</f>
      </c>
      <c r="I73" s="22">
        <f>IFERROR('Cash Flow Data'!K7,0)</f>
      </c>
      <c r="J73" s="22">
        <f>IFERROR('Cash Flow Data'!L7,0)</f>
      </c>
      <c r="K73" s="22">
        <f>IFERROR('Cash Flow Data'!M7,0)</f>
      </c>
      <c r="L73" s="22">
        <f>IFERROR('Cash Flow Data'!N7,0)</f>
      </c>
    </row>
    <row r="74" spans="1:13" x14ac:dyDescent="0.35">
      <c r="B74" t="s">
        <v>94</v>
      </c>
      <c r="C74" s="22">
        <f>IFERROR('Cash Flow Data'!E8,0)</f>
      </c>
      <c r="D74" s="22">
        <f>IFERROR('Cash Flow Data'!F8,0)</f>
      </c>
      <c r="E74" s="22">
        <f>IFERROR('Cash Flow Data'!G8,0)</f>
      </c>
      <c r="F74" s="22">
        <f>IFERROR('Cash Flow Data'!H8,0)</f>
      </c>
      <c r="G74" s="22">
        <f>IFERROR('Cash Flow Data'!I8,0)</f>
      </c>
      <c r="H74" s="22">
        <f>IFERROR('Cash Flow Data'!J8,0)</f>
      </c>
      <c r="I74" s="22">
        <f>IFERROR('Cash Flow Data'!K8,0)</f>
      </c>
      <c r="J74" s="22">
        <f>IFERROR('Cash Flow Data'!L8,0)</f>
      </c>
      <c r="K74" s="22">
        <f>IFERROR('Cash Flow Data'!M8,0)</f>
      </c>
      <c r="L74" s="22">
        <f>IFERROR('Cash Flow Data'!N8,0)</f>
      </c>
    </row>
    <row r="75" spans="1:13" x14ac:dyDescent="0.35">
      <c r="B75" t="s">
        <v>95</v>
      </c>
      <c r="C75" s="22">
        <f>IFERROR('Cash Flow Data'!E9,0)</f>
      </c>
      <c r="D75" s="22">
        <f>IFERROR('Cash Flow Data'!F9,0)</f>
      </c>
      <c r="E75" s="22">
        <f>IFERROR('Cash Flow Data'!G9,0)</f>
      </c>
      <c r="F75" s="22">
        <f>IFERROR('Cash Flow Data'!H9,0)</f>
      </c>
      <c r="G75" s="22">
        <f>IFERROR('Cash Flow Data'!I9,0)</f>
      </c>
      <c r="H75" s="22">
        <f>IFERROR('Cash Flow Data'!J9,0)</f>
      </c>
      <c r="I75" s="22">
        <f>IFERROR('Cash Flow Data'!K9,0)</f>
      </c>
      <c r="J75" s="22">
        <f>IFERROR('Cash Flow Data'!L9,0)</f>
      </c>
      <c r="K75" s="22">
        <f>IFERROR('Cash Flow Data'!M9,0)</f>
      </c>
      <c r="L75" s="22">
        <f>IFERROR('Cash Flow Data'!N9,0)</f>
      </c>
    </row>
    <row r="76" spans="1:13" x14ac:dyDescent="0.35">
      <c r="B76" t="s">
        <v>96</v>
      </c>
      <c r="C76" s="22">
        <f>IFERROR('Cash Flow Data'!E10,0)</f>
      </c>
      <c r="D76" s="22">
        <f>IFERROR('Cash Flow Data'!F10,0)</f>
      </c>
      <c r="E76" s="22">
        <f>IFERROR('Cash Flow Data'!G10,0)</f>
      </c>
      <c r="F76" s="22">
        <f>IFERROR('Cash Flow Data'!H10,0)</f>
      </c>
      <c r="G76" s="22">
        <f>IFERROR('Cash Flow Data'!I10,0)</f>
      </c>
      <c r="H76" s="22">
        <f>IFERROR('Cash Flow Data'!J10,0)</f>
      </c>
      <c r="I76" s="22">
        <f>IFERROR('Cash Flow Data'!K10,0)</f>
      </c>
      <c r="J76" s="22">
        <f>IFERROR('Cash Flow Data'!L10,0)</f>
      </c>
      <c r="K76" s="22">
        <f>IFERROR('Cash Flow Data'!M10,0)</f>
      </c>
      <c r="L76" s="22">
        <f>IFERROR('Cash Flow Data'!N10,0)</f>
      </c>
    </row>
    <row r="77" spans="1:13" x14ac:dyDescent="0.35">
      <c r="B77" t="s">
        <v>97</v>
      </c>
      <c r="C77" s="22">
        <f>IFERROR('Cash Flow Data'!E11,0)</f>
      </c>
      <c r="D77" s="22">
        <f>IFERROR('Cash Flow Data'!F11,0)</f>
      </c>
      <c r="E77" s="22">
        <f>IFERROR('Cash Flow Data'!G11,0)</f>
      </c>
      <c r="F77" s="22">
        <f>IFERROR('Cash Flow Data'!H11,0)</f>
      </c>
      <c r="G77" s="22">
        <f>IFERROR('Cash Flow Data'!I11,0)</f>
      </c>
      <c r="H77" s="22">
        <f>IFERROR('Cash Flow Data'!J11,0)</f>
      </c>
      <c r="I77" s="22">
        <f>IFERROR('Cash Flow Data'!K11,0)</f>
      </c>
      <c r="J77" s="22">
        <f>IFERROR('Cash Flow Data'!L11,0)</f>
      </c>
      <c r="K77" s="22">
        <f>IFERROR('Cash Flow Data'!M11,0)</f>
      </c>
      <c r="L77" s="22">
        <f>IFERROR('Cash Flow Data'!N11,0)</f>
      </c>
    </row>
    <row r="78" spans="1:13" x14ac:dyDescent="0.35">
      <c r="B78" t="s">
        <v>98</v>
      </c>
      <c r="C78" s="22">
        <f>IFERROR('Cash Flow Data'!E12,0)</f>
      </c>
      <c r="D78" s="22">
        <f>IFERROR('Cash Flow Data'!F12,0)</f>
      </c>
      <c r="E78" s="22">
        <f>IFERROR('Cash Flow Data'!G12,0)</f>
      </c>
      <c r="F78" s="22">
        <f>IFERROR('Cash Flow Data'!H12,0)</f>
      </c>
      <c r="G78" s="22">
        <f>IFERROR('Cash Flow Data'!I12,0)</f>
      </c>
      <c r="H78" s="22">
        <f>IFERROR('Cash Flow Data'!J12,0)</f>
      </c>
      <c r="I78" s="22">
        <f>IFERROR('Cash Flow Data'!K12,0)</f>
      </c>
      <c r="J78" s="22">
        <f>IFERROR('Cash Flow Data'!L12,0)</f>
      </c>
      <c r="K78" s="22">
        <f>IFERROR('Cash Flow Data'!M12,0)</f>
      </c>
      <c r="L78" s="22">
        <f>IFERROR('Cash Flow Data'!N12,0)</f>
      </c>
    </row>
    <row r="79" spans="1:13" x14ac:dyDescent="0.35">
      <c r="B79" s="2" t="s">
        <v>123</v>
      </c>
      <c r="C79" s="24">
        <f>IFERROR(SUM(C70,C76,C77,C78),0)</f>
      </c>
      <c r="D79" s="24">
        <f t="shared" ref="D79:L79" si="22">IFERROR(SUM(D70,D76,D77,D78),0)</f>
      </c>
      <c r="E79" s="24">
        <f t="shared" si="22"/>
      </c>
      <c r="F79" s="24">
        <f t="shared" si="22"/>
      </c>
      <c r="G79" s="24">
        <f t="shared" si="22"/>
      </c>
      <c r="H79" s="24">
        <f t="shared" si="22"/>
      </c>
      <c r="I79" s="24">
        <f t="shared" si="22"/>
      </c>
      <c r="J79" s="24">
        <f t="shared" si="22"/>
      </c>
      <c r="K79" s="24">
        <f t="shared" si="22"/>
      </c>
      <c r="L79" s="24">
        <f t="shared" si="22"/>
      </c>
    </row>
    <row r="81" spans="2:12" x14ac:dyDescent="0.35">
      <c r="B81" s="2" t="s">
        <v>124</v>
      </c>
    </row>
    <row r="82" spans="2:12" x14ac:dyDescent="0.35">
      <c r="B82" t="s">
        <v>99</v>
      </c>
      <c r="C82" s="22">
        <f>IFERROR('Cash Flow Data'!E14,0)</f>
      </c>
      <c r="D82" s="22">
        <f>IFERROR('Cash Flow Data'!F14,0)</f>
      </c>
      <c r="E82" s="22">
        <f>IFERROR('Cash Flow Data'!G14,0)</f>
      </c>
      <c r="F82" s="22">
        <f>IFERROR('Cash Flow Data'!H14,0)</f>
      </c>
      <c r="G82" s="22">
        <f>IFERROR('Cash Flow Data'!I14,0)</f>
      </c>
      <c r="H82" s="22">
        <f>IFERROR('Cash Flow Data'!J14,0)</f>
      </c>
      <c r="I82" s="22">
        <f>IFERROR('Cash Flow Data'!K14,0)</f>
      </c>
      <c r="J82" s="22">
        <f>IFERROR('Cash Flow Data'!L14,0)</f>
      </c>
      <c r="K82" s="22">
        <f>IFERROR('Cash Flow Data'!M14,0)</f>
      </c>
      <c r="L82" s="22">
        <f>IFERROR('Cash Flow Data'!N14,0)</f>
      </c>
    </row>
    <row r="83" spans="2:12" x14ac:dyDescent="0.35">
      <c r="B83" t="s">
        <v>100</v>
      </c>
      <c r="C83" s="22">
        <f>IFERROR('Cash Flow Data'!E15,0)</f>
      </c>
      <c r="D83" s="22">
        <f>IFERROR('Cash Flow Data'!F15,0)</f>
      </c>
      <c r="E83" s="22">
        <f>IFERROR('Cash Flow Data'!G15,0)</f>
      </c>
      <c r="F83" s="22">
        <f>IFERROR('Cash Flow Data'!H15,0)</f>
      </c>
      <c r="G83" s="22">
        <f>IFERROR('Cash Flow Data'!I15,0)</f>
      </c>
      <c r="H83" s="22">
        <f>IFERROR('Cash Flow Data'!J15,0)</f>
      </c>
      <c r="I83" s="22">
        <f>IFERROR('Cash Flow Data'!K15,0)</f>
      </c>
      <c r="J83" s="22">
        <f>IFERROR('Cash Flow Data'!L15,0)</f>
      </c>
      <c r="K83" s="22">
        <f>IFERROR('Cash Flow Data'!M15,0)</f>
      </c>
      <c r="L83" s="22">
        <f>IFERROR('Cash Flow Data'!N15,0)</f>
      </c>
    </row>
    <row r="84" spans="2:12" x14ac:dyDescent="0.35">
      <c r="B84" t="s">
        <v>101</v>
      </c>
      <c r="C84" s="22">
        <f>IFERROR('Cash Flow Data'!E16,0)</f>
      </c>
      <c r="D84" s="22">
        <f>IFERROR('Cash Flow Data'!F16,0)</f>
      </c>
      <c r="E84" s="22">
        <f>IFERROR('Cash Flow Data'!G16,0)</f>
      </c>
      <c r="F84" s="22">
        <f>IFERROR('Cash Flow Data'!H16,0)</f>
      </c>
      <c r="G84" s="22">
        <f>IFERROR('Cash Flow Data'!I16,0)</f>
      </c>
      <c r="H84" s="22">
        <f>IFERROR('Cash Flow Data'!J16,0)</f>
      </c>
      <c r="I84" s="22">
        <f>IFERROR('Cash Flow Data'!K16,0)</f>
      </c>
      <c r="J84" s="22">
        <f>IFERROR('Cash Flow Data'!L16,0)</f>
      </c>
      <c r="K84" s="22">
        <f>IFERROR('Cash Flow Data'!M16,0)</f>
      </c>
      <c r="L84" s="22">
        <f>IFERROR('Cash Flow Data'!N16,0)</f>
      </c>
    </row>
    <row r="85" spans="2:12" x14ac:dyDescent="0.35">
      <c r="B85" t="s">
        <v>102</v>
      </c>
      <c r="C85" s="22">
        <f>IFERROR('Cash Flow Data'!E17,0)</f>
      </c>
      <c r="D85" s="22">
        <f>IFERROR('Cash Flow Data'!F17,0)</f>
      </c>
      <c r="E85" s="22">
        <f>IFERROR('Cash Flow Data'!G17,0)</f>
      </c>
      <c r="F85" s="22">
        <f>IFERROR('Cash Flow Data'!H17,0)</f>
      </c>
      <c r="G85" s="22">
        <f>IFERROR('Cash Flow Data'!I17,0)</f>
      </c>
      <c r="H85" s="22">
        <f>IFERROR('Cash Flow Data'!J17,0)</f>
      </c>
      <c r="I85" s="22">
        <f>IFERROR('Cash Flow Data'!K17,0)</f>
      </c>
      <c r="J85" s="22">
        <f>IFERROR('Cash Flow Data'!L17,0)</f>
      </c>
      <c r="K85" s="22">
        <f>IFERROR('Cash Flow Data'!M17,0)</f>
      </c>
      <c r="L85" s="22">
        <f>IFERROR('Cash Flow Data'!N17,0)</f>
      </c>
    </row>
    <row r="86" spans="2:12" x14ac:dyDescent="0.35">
      <c r="B86" t="s">
        <v>103</v>
      </c>
      <c r="C86" s="22">
        <f>IFERROR('Cash Flow Data'!E18,0)</f>
      </c>
      <c r="D86" s="22">
        <f>IFERROR('Cash Flow Data'!F18,0)</f>
      </c>
      <c r="E86" s="22">
        <f>IFERROR('Cash Flow Data'!G18,0)</f>
      </c>
      <c r="F86" s="22">
        <f>IFERROR('Cash Flow Data'!H18,0)</f>
      </c>
      <c r="G86" s="22">
        <f>IFERROR('Cash Flow Data'!I18,0)</f>
      </c>
      <c r="H86" s="22">
        <f>IFERROR('Cash Flow Data'!J18,0)</f>
      </c>
      <c r="I86" s="22">
        <f>IFERROR('Cash Flow Data'!K18,0)</f>
      </c>
      <c r="J86" s="22">
        <f>IFERROR('Cash Flow Data'!L18,0)</f>
      </c>
      <c r="K86" s="22">
        <f>IFERROR('Cash Flow Data'!M18,0)</f>
      </c>
      <c r="L86" s="22">
        <f>IFERROR('Cash Flow Data'!N18,0)</f>
      </c>
    </row>
    <row r="87" spans="2:12" x14ac:dyDescent="0.35">
      <c r="B87" t="s">
        <v>104</v>
      </c>
      <c r="C87" s="22">
        <f>IFERROR('Cash Flow Data'!E19,0)</f>
      </c>
      <c r="D87" s="22">
        <f>IFERROR('Cash Flow Data'!F19,0)</f>
      </c>
      <c r="E87" s="22">
        <f>IFERROR('Cash Flow Data'!G19,0)</f>
      </c>
      <c r="F87" s="22">
        <f>IFERROR('Cash Flow Data'!H19,0)</f>
      </c>
      <c r="G87" s="22">
        <f>IFERROR('Cash Flow Data'!I19,0)</f>
      </c>
      <c r="H87" s="22">
        <f>IFERROR('Cash Flow Data'!J19,0)</f>
      </c>
      <c r="I87" s="22">
        <f>IFERROR('Cash Flow Data'!K19,0)</f>
      </c>
      <c r="J87" s="22">
        <f>IFERROR('Cash Flow Data'!L19,0)</f>
      </c>
      <c r="K87" s="22">
        <f>IFERROR('Cash Flow Data'!M19,0)</f>
      </c>
      <c r="L87" s="22">
        <f>IFERROR('Cash Flow Data'!N19,0)</f>
      </c>
    </row>
    <row r="88" spans="2:12" x14ac:dyDescent="0.35">
      <c r="B88" t="s">
        <v>105</v>
      </c>
      <c r="C88" s="22">
        <f>IFERROR('Cash Flow Data'!E20,0)</f>
      </c>
      <c r="D88" s="22">
        <f>IFERROR('Cash Flow Data'!F20,0)</f>
      </c>
      <c r="E88" s="22">
        <f>IFERROR('Cash Flow Data'!G20,0)</f>
      </c>
      <c r="F88" s="22">
        <f>IFERROR('Cash Flow Data'!H20,0)</f>
      </c>
      <c r="G88" s="22">
        <f>IFERROR('Cash Flow Data'!I20,0)</f>
      </c>
      <c r="H88" s="22">
        <f>IFERROR('Cash Flow Data'!J20,0)</f>
      </c>
      <c r="I88" s="22">
        <f>IFERROR('Cash Flow Data'!K20,0)</f>
      </c>
      <c r="J88" s="22">
        <f>IFERROR('Cash Flow Data'!L20,0)</f>
      </c>
      <c r="K88" s="22">
        <f>IFERROR('Cash Flow Data'!M20,0)</f>
      </c>
      <c r="L88" s="22">
        <f>IFERROR('Cash Flow Data'!N20,0)</f>
      </c>
    </row>
    <row r="89" spans="2:12" x14ac:dyDescent="0.35">
      <c r="B89" t="s">
        <v>106</v>
      </c>
      <c r="C89" s="22">
        <f>IFERROR('Cash Flow Data'!E21,0)</f>
      </c>
      <c r="D89" s="22">
        <f>IFERROR('Cash Flow Data'!F21,0)</f>
      </c>
      <c r="E89" s="22">
        <f>IFERROR('Cash Flow Data'!G21,0)</f>
      </c>
      <c r="F89" s="22">
        <f>IFERROR('Cash Flow Data'!H21,0)</f>
      </c>
      <c r="G89" s="22">
        <f>IFERROR('Cash Flow Data'!I21,0)</f>
      </c>
      <c r="H89" s="22">
        <f>IFERROR('Cash Flow Data'!J21,0)</f>
      </c>
      <c r="I89" s="22">
        <f>IFERROR('Cash Flow Data'!K21,0)</f>
      </c>
      <c r="J89" s="22">
        <f>IFERROR('Cash Flow Data'!L21,0)</f>
      </c>
      <c r="K89" s="22">
        <f>IFERROR('Cash Flow Data'!M21,0)</f>
      </c>
      <c r="L89" s="22">
        <f>IFERROR('Cash Flow Data'!N21,0)</f>
      </c>
    </row>
    <row r="90" spans="2:12" x14ac:dyDescent="0.35">
      <c r="B90" s="2" t="s">
        <v>125</v>
      </c>
      <c r="C90" s="24">
        <f>IFERROR(SUM(C82:C89),0)</f>
      </c>
      <c r="D90" s="24">
        <f t="shared" ref="D90:L90" si="23">IFERROR(SUM(D82:D89),0)</f>
      </c>
      <c r="E90" s="24">
        <f t="shared" si="23"/>
      </c>
      <c r="F90" s="24">
        <f t="shared" si="23"/>
      </c>
      <c r="G90" s="24">
        <f t="shared" si="23"/>
      </c>
      <c r="H90" s="24">
        <f t="shared" si="23"/>
      </c>
      <c r="I90" s="24">
        <f t="shared" si="23"/>
      </c>
      <c r="J90" s="24">
        <f t="shared" si="23"/>
      </c>
      <c r="K90" s="24">
        <f t="shared" si="23"/>
      </c>
      <c r="L90" s="24">
        <f t="shared" si="23"/>
      </c>
    </row>
    <row r="92" spans="2:12" x14ac:dyDescent="0.35">
      <c r="B92" s="2" t="s">
        <v>126</v>
      </c>
    </row>
    <row r="93" spans="2:12" x14ac:dyDescent="0.35">
      <c r="B93" t="s">
        <v>107</v>
      </c>
      <c r="C93" s="22">
        <f>IFERROR('Cash Flow Data'!E23,0)</f>
      </c>
      <c r="D93" s="22">
        <f>IFERROR('Cash Flow Data'!F23,0)</f>
      </c>
      <c r="E93" s="22">
        <f>IFERROR('Cash Flow Data'!G23,0)</f>
      </c>
      <c r="F93" s="22">
        <f>IFERROR('Cash Flow Data'!H23,0)</f>
      </c>
      <c r="G93" s="22">
        <f>IFERROR('Cash Flow Data'!I23,0)</f>
      </c>
      <c r="H93" s="22">
        <f>IFERROR('Cash Flow Data'!J23,0)</f>
      </c>
      <c r="I93" s="22">
        <f>IFERROR('Cash Flow Data'!K23,0)</f>
      </c>
      <c r="J93" s="22">
        <f>IFERROR('Cash Flow Data'!L23,0)</f>
      </c>
      <c r="K93" s="22">
        <f>IFERROR('Cash Flow Data'!M23,0)</f>
      </c>
      <c r="L93" s="22">
        <f>IFERROR('Cash Flow Data'!N23,0)</f>
      </c>
    </row>
    <row r="94" spans="2:12" x14ac:dyDescent="0.35">
      <c r="B94" t="s">
        <v>108</v>
      </c>
      <c r="C94" s="22">
        <f>IFERROR('Cash Flow Data'!E24,0)</f>
      </c>
      <c r="D94" s="22">
        <f>IFERROR('Cash Flow Data'!F24,0)</f>
      </c>
      <c r="E94" s="22">
        <f>IFERROR('Cash Flow Data'!G24,0)</f>
      </c>
      <c r="F94" s="22">
        <f>IFERROR('Cash Flow Data'!H24,0)</f>
      </c>
      <c r="G94" s="22">
        <f>IFERROR('Cash Flow Data'!I24,0)</f>
      </c>
      <c r="H94" s="22">
        <f>IFERROR('Cash Flow Data'!J24,0)</f>
      </c>
      <c r="I94" s="22">
        <f>IFERROR('Cash Flow Data'!K24,0)</f>
      </c>
      <c r="J94" s="22">
        <f>IFERROR('Cash Flow Data'!L24,0)</f>
      </c>
      <c r="K94" s="22">
        <f>IFERROR('Cash Flow Data'!M24,0)</f>
      </c>
      <c r="L94" s="22">
        <f>IFERROR('Cash Flow Data'!N24,0)</f>
      </c>
    </row>
    <row r="95" spans="2:12" x14ac:dyDescent="0.35">
      <c r="B95" t="s">
        <v>109</v>
      </c>
      <c r="C95" s="22">
        <f>IFERROR('Cash Flow Data'!E25,0)</f>
      </c>
      <c r="D95" s="22">
        <f>IFERROR('Cash Flow Data'!F25,0)</f>
      </c>
      <c r="E95" s="22">
        <f>IFERROR('Cash Flow Data'!G25,0)</f>
      </c>
      <c r="F95" s="22">
        <f>IFERROR('Cash Flow Data'!H25,0)</f>
      </c>
      <c r="G95" s="22">
        <f>IFERROR('Cash Flow Data'!I25,0)</f>
      </c>
      <c r="H95" s="22">
        <f>IFERROR('Cash Flow Data'!J25,0)</f>
      </c>
      <c r="I95" s="22">
        <f>IFERROR('Cash Flow Data'!K25,0)</f>
      </c>
      <c r="J95" s="22">
        <f>IFERROR('Cash Flow Data'!L25,0)</f>
      </c>
      <c r="K95" s="22">
        <f>IFERROR('Cash Flow Data'!M25,0)</f>
      </c>
      <c r="L95" s="22">
        <f>IFERROR('Cash Flow Data'!N25,0)</f>
      </c>
    </row>
    <row r="96" spans="2:12" x14ac:dyDescent="0.35">
      <c r="B96" t="s">
        <v>110</v>
      </c>
      <c r="C96" s="22">
        <f>IFERROR('Cash Flow Data'!E26,0)</f>
      </c>
      <c r="D96" s="22">
        <f>IFERROR('Cash Flow Data'!F26,0)</f>
      </c>
      <c r="E96" s="22">
        <f>IFERROR('Cash Flow Data'!G26,0)</f>
      </c>
      <c r="F96" s="22">
        <f>IFERROR('Cash Flow Data'!H26,0)</f>
      </c>
      <c r="G96" s="22">
        <f>IFERROR('Cash Flow Data'!I26,0)</f>
      </c>
      <c r="H96" s="22">
        <f>IFERROR('Cash Flow Data'!J26,0)</f>
      </c>
      <c r="I96" s="22">
        <f>IFERROR('Cash Flow Data'!K26,0)</f>
      </c>
      <c r="J96" s="22">
        <f>IFERROR('Cash Flow Data'!L26,0)</f>
      </c>
      <c r="K96" s="22">
        <f>IFERROR('Cash Flow Data'!M26,0)</f>
      </c>
      <c r="L96" s="22">
        <f>IFERROR('Cash Flow Data'!N26,0)</f>
      </c>
    </row>
    <row r="97" spans="2:12" x14ac:dyDescent="0.35">
      <c r="B97" t="s">
        <v>111</v>
      </c>
      <c r="C97" s="22">
        <f>IFERROR('Cash Flow Data'!E27,0)</f>
      </c>
      <c r="D97" s="22">
        <f>IFERROR('Cash Flow Data'!F27,0)</f>
      </c>
      <c r="E97" s="22">
        <f>IFERROR('Cash Flow Data'!G27,0)</f>
      </c>
      <c r="F97" s="22">
        <f>IFERROR('Cash Flow Data'!H27,0)</f>
      </c>
      <c r="G97" s="22">
        <f>IFERROR('Cash Flow Data'!I27,0)</f>
      </c>
      <c r="H97" s="22">
        <f>IFERROR('Cash Flow Data'!J27,0)</f>
      </c>
      <c r="I97" s="22">
        <f>IFERROR('Cash Flow Data'!K27,0)</f>
      </c>
      <c r="J97" s="22">
        <f>IFERROR('Cash Flow Data'!L27,0)</f>
      </c>
      <c r="K97" s="22">
        <f>IFERROR('Cash Flow Data'!M27,0)</f>
      </c>
      <c r="L97" s="22">
        <f>IFERROR('Cash Flow Data'!N27,0)</f>
      </c>
    </row>
    <row r="98" spans="2:12" x14ac:dyDescent="0.35">
      <c r="B98" t="s">
        <v>112</v>
      </c>
      <c r="C98" s="22">
        <f>IFERROR('Cash Flow Data'!E28,0)</f>
      </c>
      <c r="D98" s="22">
        <f>IFERROR('Cash Flow Data'!F28,0)</f>
      </c>
      <c r="E98" s="22">
        <f>IFERROR('Cash Flow Data'!G28,0)</f>
      </c>
      <c r="F98" s="22">
        <f>IFERROR('Cash Flow Data'!H28,0)</f>
      </c>
      <c r="G98" s="22">
        <f>IFERROR('Cash Flow Data'!I28,0)</f>
      </c>
      <c r="H98" s="22">
        <f>IFERROR('Cash Flow Data'!J28,0)</f>
      </c>
      <c r="I98" s="22">
        <f>IFERROR('Cash Flow Data'!K28,0)</f>
      </c>
      <c r="J98" s="22">
        <f>IFERROR('Cash Flow Data'!L28,0)</f>
      </c>
      <c r="K98" s="22">
        <f>IFERROR('Cash Flow Data'!M28,0)</f>
      </c>
      <c r="L98" s="22">
        <f>IFERROR('Cash Flow Data'!N28,0)</f>
      </c>
    </row>
    <row r="99" spans="2:12" x14ac:dyDescent="0.35">
      <c r="B99" t="s">
        <v>113</v>
      </c>
      <c r="C99" s="22">
        <f>IFERROR('Cash Flow Data'!E29,0)</f>
      </c>
      <c r="D99" s="22">
        <f>IFERROR('Cash Flow Data'!F29,0)</f>
      </c>
      <c r="E99" s="22">
        <f>IFERROR('Cash Flow Data'!G29,0)</f>
      </c>
      <c r="F99" s="22">
        <f>IFERROR('Cash Flow Data'!H29,0)</f>
      </c>
      <c r="G99" s="22">
        <f>IFERROR('Cash Flow Data'!I29,0)</f>
      </c>
      <c r="H99" s="22">
        <f>IFERROR('Cash Flow Data'!J29,0)</f>
      </c>
      <c r="I99" s="22">
        <f>IFERROR('Cash Flow Data'!K29,0)</f>
      </c>
      <c r="J99" s="22">
        <f>IFERROR('Cash Flow Data'!L29,0)</f>
      </c>
      <c r="K99" s="22">
        <f>IFERROR('Cash Flow Data'!M29,0)</f>
      </c>
      <c r="L99" s="22">
        <f>IFERROR('Cash Flow Data'!N29,0)</f>
      </c>
    </row>
    <row r="100" spans="2:12" x14ac:dyDescent="0.35">
      <c r="B100" t="s">
        <v>114</v>
      </c>
      <c r="C100" s="22">
        <f>IFERROR('Cash Flow Data'!E30,0)</f>
      </c>
      <c r="D100" s="22">
        <f>IFERROR('Cash Flow Data'!F30,0)</f>
      </c>
      <c r="E100" s="22">
        <f>IFERROR('Cash Flow Data'!G30,0)</f>
      </c>
      <c r="F100" s="22">
        <f>IFERROR('Cash Flow Data'!H30,0)</f>
      </c>
      <c r="G100" s="22">
        <f>IFERROR('Cash Flow Data'!I30,0)</f>
      </c>
      <c r="H100" s="22">
        <f>IFERROR('Cash Flow Data'!J30,0)</f>
      </c>
      <c r="I100" s="22">
        <f>IFERROR('Cash Flow Data'!K30,0)</f>
      </c>
      <c r="J100" s="22">
        <f>IFERROR('Cash Flow Data'!L30,0)</f>
      </c>
      <c r="K100" s="22">
        <f>IFERROR('Cash Flow Data'!M30,0)</f>
      </c>
      <c r="L100" s="22">
        <f>IFERROR('Cash Flow Data'!N30,0)</f>
      </c>
    </row>
    <row r="101" spans="2:12" x14ac:dyDescent="0.35">
      <c r="B101" t="s">
        <v>115</v>
      </c>
      <c r="C101" s="22">
        <f>IFERROR('Cash Flow Data'!E31,0)</f>
      </c>
      <c r="D101" s="22">
        <f>IFERROR('Cash Flow Data'!F31,0)</f>
      </c>
      <c r="E101" s="22">
        <f>IFERROR('Cash Flow Data'!G31,0)</f>
      </c>
      <c r="F101" s="22">
        <f>IFERROR('Cash Flow Data'!H31,0)</f>
      </c>
      <c r="G101" s="22">
        <f>IFERROR('Cash Flow Data'!I31,0)</f>
      </c>
      <c r="H101" s="22">
        <f>IFERROR('Cash Flow Data'!J31,0)</f>
      </c>
      <c r="I101" s="22">
        <f>IFERROR('Cash Flow Data'!K31,0)</f>
      </c>
      <c r="J101" s="22">
        <f>IFERROR('Cash Flow Data'!L31,0)</f>
      </c>
      <c r="K101" s="22">
        <f>IFERROR('Cash Flow Data'!M31,0)</f>
      </c>
      <c r="L101" s="22">
        <f>IFERROR('Cash Flow Data'!N31,0)</f>
      </c>
    </row>
    <row r="102" spans="2:12" x14ac:dyDescent="0.35">
      <c r="B102" s="2" t="s">
        <v>127</v>
      </c>
      <c r="C102" s="24">
        <f>IFERROR(SUM(C93:C101),0)</f>
      </c>
      <c r="D102" s="24">
        <f t="shared" ref="D102:L102" si="24">IFERROR(SUM(D93:D101),0)</f>
      </c>
      <c r="E102" s="24">
        <f t="shared" si="24"/>
      </c>
      <c r="F102" s="24">
        <f>IFERROR(SUM(F93:F101),0)</f>
      </c>
      <c r="G102" s="24">
        <f t="shared" si="24"/>
      </c>
      <c r="H102" s="24">
        <f t="shared" si="24"/>
      </c>
      <c r="I102" s="24">
        <f t="shared" si="24"/>
      </c>
      <c r="J102" s="24">
        <f t="shared" si="24"/>
      </c>
      <c r="K102" s="24">
        <f t="shared" si="24"/>
      </c>
      <c r="L102" s="24">
        <f t="shared" si="24"/>
      </c>
    </row>
    <row r="104" spans="2:12" x14ac:dyDescent="0.35">
      <c r="B104" s="2" t="s">
        <v>21</v>
      </c>
      <c r="C104" s="24">
        <f>IFERROR(SUM(C102,C90,C79),0)</f>
      </c>
      <c r="D104" s="24">
        <f t="shared" ref="D104:L104" si="25">IFERROR(SUM(D102,D90,D79),0)</f>
      </c>
      <c r="E104" s="24">
        <f t="shared" si="25"/>
      </c>
      <c r="F104" s="24">
        <f t="shared" si="25"/>
      </c>
      <c r="G104" s="24">
        <f t="shared" si="25"/>
      </c>
      <c r="H104" s="24">
        <f t="shared" si="25"/>
      </c>
      <c r="I104" s="24">
        <f t="shared" si="25"/>
      </c>
      <c r="J104" s="24">
        <f t="shared" si="25"/>
      </c>
      <c r="K104" s="24">
        <f t="shared" si="25"/>
      </c>
      <c r="L104" s="24">
        <f t="shared" si="25"/>
      </c>
    </row>
  </sheetData>
  <mergeCells count="1">
    <mergeCell ref="B2:M2"/>
  </mergeCells>
  <pageMargins left="0.7" right="0.7" top="0.75" bottom="0.75" header="0.3" footer="0.3"/>
  <pageSetup paperSize="9" orientation="portrait" r:id="rId1"/>
  <ignoredErrors>
    <ignoredError sqref="M6 C9:K9 M9 C15:L15 M21 M24 M30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F9B36-53D1-4B28-B635-D9836A790BFE}">
  <sheetPr>
    <tabColor rgb="FF002060"/>
  </sheetPr>
  <dimension ref="B2:P41"/>
  <sheetViews>
    <sheetView showGridLines="0" workbookViewId="0">
      <pane ySplit="3" topLeftCell="A4" activePane="bottomLeft" state="frozen"/>
      <selection pane="bottomLeft" activeCell="B2" sqref="B2:P2"/>
    </sheetView>
  </sheetViews>
  <sheetFormatPr defaultRowHeight="14.5" x14ac:dyDescent="0.35"/>
  <cols>
    <col min="1" max="1" width="1.81640625" customWidth="1"/>
    <col min="2" max="2" width="27.54296875" customWidth="1"/>
    <col min="3" max="3" width="9.81640625" bestFit="1" customWidth="1"/>
    <col min="13" max="13" width="0" hidden="1" customWidth="1"/>
    <col min="14" max="14" width="17.81640625" customWidth="1"/>
    <col min="15" max="15" width="11.90625" customWidth="1"/>
    <col min="16" max="16" width="12.7265625" customWidth="1"/>
  </cols>
  <sheetData>
    <row r="2" spans="2:16" x14ac:dyDescent="0.35">
      <c r="B2" s="49" t="str">
        <f>"Ratio Analysis - " &amp; 'Data Sheet'!B1</f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</row>
    <row r="3" spans="2:16" x14ac:dyDescent="0.35">
      <c r="B3" s="10" t="s">
        <v>56</v>
      </c>
      <c r="C3" s="11">
        <f>IFERROR('Data Sheet'!B16,0)</f>
      </c>
      <c r="D3" s="11">
        <f>IFERROR('Data Sheet'!C16,0)</f>
      </c>
      <c r="E3" s="11">
        <f>IFERROR('Data Sheet'!D16,0)</f>
      </c>
      <c r="F3" s="11">
        <f>IFERROR('Data Sheet'!E16,0)</f>
      </c>
      <c r="G3" s="11">
        <f>IFERROR('Data Sheet'!F16,0)</f>
      </c>
      <c r="H3" s="11">
        <f>IFERROR('Data Sheet'!G16,0)</f>
      </c>
      <c r="I3" s="11">
        <f>IFERROR('Data Sheet'!H16,0)</f>
      </c>
      <c r="J3" s="11">
        <f>IFERROR('Data Sheet'!I16,0)</f>
      </c>
      <c r="K3" s="11">
        <f>IFERROR('Data Sheet'!J16,0)</f>
      </c>
      <c r="L3" s="11">
        <f>IFERROR('Data Sheet'!K16,0)</f>
      </c>
      <c r="M3" s="12" t="s">
        <v>57</v>
      </c>
      <c r="N3" s="48" t="s">
        <v>161</v>
      </c>
      <c r="O3" s="48" t="s">
        <v>159</v>
      </c>
      <c r="P3" s="48" t="s">
        <v>160</v>
      </c>
    </row>
    <row r="5" spans="2:16" x14ac:dyDescent="0.35">
      <c r="B5" s="32" t="s">
        <v>134</v>
      </c>
      <c r="C5" s="33"/>
      <c r="D5" s="33">
        <f>IFERROR(HistoricalFS!D7,0)</f>
      </c>
      <c r="E5" s="33">
        <f>IFERROR(HistoricalFS!E7,0)</f>
      </c>
      <c r="F5" s="33">
        <f>IFERROR(HistoricalFS!F7,0)</f>
      </c>
      <c r="G5" s="33">
        <f>IFERROR(HistoricalFS!G7,0)</f>
      </c>
      <c r="H5" s="33">
        <f>IFERROR(HistoricalFS!H7,0)</f>
      </c>
      <c r="I5" s="33">
        <f>IFERROR(HistoricalFS!I7,0)</f>
      </c>
      <c r="J5" s="33">
        <f>IFERROR(HistoricalFS!J7,0)</f>
      </c>
      <c r="K5" s="33">
        <f>IFERROR(HistoricalFS!K7,0)</f>
      </c>
      <c r="L5" s="33">
        <f>IFERROR(HistoricalFS!L7,0)</f>
      </c>
      <c r="M5" s="32"/>
      <c r="N5" s="32"/>
      <c r="O5" s="45">
        <f>IFERROR(AVERAGE(D5:L5),0)</f>
      </c>
      <c r="P5" s="45">
        <f>IFERROR(MEDIAN(C5:L5),0)</f>
      </c>
    </row>
    <row r="6" spans="2:16" x14ac:dyDescent="0.35">
      <c r="B6" t="s">
        <v>128</v>
      </c>
      <c r="C6" s="34"/>
      <c r="D6" s="34">
        <f>IFERROR(HistoricalFS!D18/HistoricalFS!C18-1,0)</f>
      </c>
      <c r="E6" s="34">
        <f>IFERROR(HistoricalFS!E18/HistoricalFS!D18-1,0)</f>
      </c>
      <c r="F6" s="34">
        <f>IFERROR(HistoricalFS!F18/HistoricalFS!E18-1,0)</f>
      </c>
      <c r="G6" s="34">
        <f>IFERROR(HistoricalFS!G18/HistoricalFS!F18-1,0)</f>
      </c>
      <c r="H6" s="34">
        <f>IFERROR(HistoricalFS!H18/HistoricalFS!G18-1,0)</f>
      </c>
      <c r="I6" s="34">
        <f>IFERROR(HistoricalFS!I18/HistoricalFS!H18-1,0)</f>
      </c>
      <c r="J6" s="34">
        <f>IFERROR(HistoricalFS!J18/HistoricalFS!I18-1,0)</f>
      </c>
      <c r="K6" s="34">
        <f>IFERROR(HistoricalFS!K18/HistoricalFS!J18-1,0)</f>
      </c>
      <c r="L6" s="34">
        <f>IFERROR(HistoricalFS!L18/HistoricalFS!K18-1,0)</f>
      </c>
      <c r="O6" s="37">
        <f t="shared" ref="O6:O9" si="0">IFERROR(AVERAGE(D6:L6),0)</f>
      </c>
      <c r="P6" s="37">
        <f t="shared" ref="P6:P41" si="1">IFERROR(MEDIAN(C6:L6),0)</f>
      </c>
    </row>
    <row r="7" spans="2:16" x14ac:dyDescent="0.35">
      <c r="B7" t="s">
        <v>129</v>
      </c>
      <c r="C7" s="34"/>
      <c r="D7" s="34">
        <f>IFERROR((HistoricalFS!D18-HistoricalFS!D24)/(HistoricalFS!C18-HistoricalFS!C24)-1,0)</f>
      </c>
      <c r="E7" s="34">
        <f>IFERROR((HistoricalFS!E18-HistoricalFS!E24)/(HistoricalFS!D18-HistoricalFS!D24)-1,0)</f>
      </c>
      <c r="F7" s="34">
        <f>IFERROR((HistoricalFS!F18-HistoricalFS!F24)/(HistoricalFS!E18-HistoricalFS!E24)-1,0)</f>
      </c>
      <c r="G7" s="34">
        <f>IFERROR((HistoricalFS!G18-HistoricalFS!G24)/(HistoricalFS!F18-HistoricalFS!F24)-1,0)</f>
      </c>
      <c r="H7" s="34">
        <f>IFERROR((HistoricalFS!H18-HistoricalFS!H24)/(HistoricalFS!G18-HistoricalFS!G24)-1,0)</f>
      </c>
      <c r="I7" s="34">
        <f>IFERROR((HistoricalFS!I18-HistoricalFS!I24)/(HistoricalFS!H18-HistoricalFS!H24)-1,0)</f>
      </c>
      <c r="J7" s="34">
        <f>IFERROR((HistoricalFS!J18-HistoricalFS!J24)/(HistoricalFS!I18-HistoricalFS!I24)-1,0)</f>
      </c>
      <c r="K7" s="34">
        <f>IFERROR((HistoricalFS!K18-HistoricalFS!K24)/(HistoricalFS!J18-HistoricalFS!J24)-1,0)</f>
      </c>
      <c r="L7" s="34">
        <f>IFERROR((HistoricalFS!L18-HistoricalFS!L24)/(HistoricalFS!K18-HistoricalFS!K24)-1,0)</f>
      </c>
      <c r="O7" s="37">
        <f t="shared" si="0"/>
      </c>
      <c r="P7" s="37">
        <f t="shared" si="1"/>
      </c>
    </row>
    <row r="8" spans="2:16" x14ac:dyDescent="0.35">
      <c r="B8" t="s">
        <v>130</v>
      </c>
      <c r="C8" s="34"/>
      <c r="D8" s="34">
        <f>IFERROR(HistoricalFS!D33/HistoricalFS!C33-1,0)</f>
      </c>
      <c r="E8" s="34">
        <f>IFERROR(HistoricalFS!E33/HistoricalFS!D33-1,0)</f>
      </c>
      <c r="F8" s="34">
        <f>IFERROR(HistoricalFS!F33/HistoricalFS!E33-1,0)</f>
      </c>
      <c r="G8" s="34">
        <f>IFERROR(HistoricalFS!G33/HistoricalFS!F33-1,0)</f>
      </c>
      <c r="H8" s="34">
        <f>IFERROR(HistoricalFS!H33/HistoricalFS!G33-1,0)</f>
      </c>
      <c r="I8" s="34">
        <f>IFERROR(HistoricalFS!I33/HistoricalFS!H33-1,0)</f>
      </c>
      <c r="J8" s="34">
        <f>IFERROR(HistoricalFS!J33/HistoricalFS!I33-1,0)</f>
      </c>
      <c r="K8" s="34">
        <f>IFERROR(HistoricalFS!K33/HistoricalFS!J33-1,0)</f>
      </c>
      <c r="L8" s="34">
        <f>IFERROR(HistoricalFS!L33/HistoricalFS!K33-1,0)</f>
      </c>
      <c r="O8" s="37">
        <f t="shared" si="0"/>
      </c>
      <c r="P8" s="37">
        <f t="shared" si="1"/>
      </c>
    </row>
    <row r="9" spans="2:16" x14ac:dyDescent="0.35">
      <c r="B9" s="35" t="s">
        <v>135</v>
      </c>
      <c r="C9" s="36"/>
      <c r="D9" s="36">
        <f>IFERROR(HistoricalFS!D41/HistoricalFS!C41-1,0)</f>
      </c>
      <c r="E9" s="36">
        <f>IFERROR(HistoricalFS!E41/HistoricalFS!D41-1,0)</f>
      </c>
      <c r="F9" s="36">
        <f>IFERROR(HistoricalFS!F41/HistoricalFS!E41-1,0)</f>
      </c>
      <c r="G9" s="36">
        <f>IFERROR(HistoricalFS!G41/HistoricalFS!F41-1,0)</f>
      </c>
      <c r="H9" s="36">
        <f>IFERROR(HistoricalFS!H41/HistoricalFS!G41-1,0)</f>
      </c>
      <c r="I9" s="36">
        <f>IFERROR(HistoricalFS!I41/HistoricalFS!H41-1,0)</f>
      </c>
      <c r="J9" s="36">
        <f>IFERROR(HistoricalFS!J41/HistoricalFS!I41-1,0)</f>
      </c>
      <c r="K9" s="36">
        <f>IFERROR(HistoricalFS!K41/HistoricalFS!J41-1,0)</f>
      </c>
      <c r="L9" s="36">
        <f>IFERROR(HistoricalFS!L41/HistoricalFS!K41-1,0)</f>
      </c>
      <c r="M9" s="35"/>
      <c r="N9" s="35"/>
      <c r="O9" s="46">
        <f t="shared" si="0"/>
      </c>
      <c r="P9" s="46">
        <f t="shared" si="1"/>
      </c>
    </row>
    <row r="10" spans="2:16" x14ac:dyDescent="0.35">
      <c r="C10" s="30"/>
      <c r="D10" s="30"/>
      <c r="E10" s="30"/>
      <c r="F10" s="30"/>
      <c r="G10" s="30"/>
      <c r="H10" s="30"/>
      <c r="I10" s="30"/>
      <c r="J10" s="30"/>
      <c r="K10" s="30"/>
      <c r="L10" s="30"/>
      <c r="O10" s="37"/>
      <c r="P10" s="37"/>
    </row>
    <row r="11" spans="2:16" x14ac:dyDescent="0.35">
      <c r="B11" s="32" t="s">
        <v>132</v>
      </c>
      <c r="C11" s="33">
        <f>IFERROR(HistoricalFS!C13,0)</f>
      </c>
      <c r="D11" s="33">
        <f>IFERROR(HistoricalFS!D13,0)</f>
      </c>
      <c r="E11" s="33">
        <f>IFERROR(HistoricalFS!E13,0)</f>
      </c>
      <c r="F11" s="33">
        <f>IFERROR(HistoricalFS!F13,0)</f>
      </c>
      <c r="G11" s="33">
        <f>IFERROR(HistoricalFS!G13,0)</f>
      </c>
      <c r="H11" s="33">
        <f>IFERROR(HistoricalFS!H13,0)</f>
      </c>
      <c r="I11" s="33">
        <f>IFERROR(HistoricalFS!I13,0)</f>
      </c>
      <c r="J11" s="33">
        <f>IFERROR(HistoricalFS!J13,0)</f>
      </c>
      <c r="K11" s="33">
        <f>IFERROR(HistoricalFS!K13,0)</f>
      </c>
      <c r="L11" s="33">
        <f>IFERROR(HistoricalFS!L13,0)</f>
      </c>
      <c r="M11" s="32"/>
      <c r="N11" s="32"/>
      <c r="O11" s="45">
        <f>IFERROR(AVERAGE(C11:L11),0)</f>
      </c>
      <c r="P11" s="45">
        <f t="shared" si="1"/>
      </c>
    </row>
    <row r="12" spans="2:16" x14ac:dyDescent="0.35">
      <c r="B12" t="s">
        <v>131</v>
      </c>
      <c r="C12" s="34">
        <f>IFERROR(HistoricalFS!C19,0)</f>
      </c>
      <c r="D12" s="34">
        <f>IFERROR(HistoricalFS!D19,0)</f>
      </c>
      <c r="E12" s="34">
        <f>IFERROR(HistoricalFS!E19,0)</f>
      </c>
      <c r="F12" s="34">
        <f>IFERROR(HistoricalFS!F19,0)</f>
      </c>
      <c r="G12" s="34">
        <f>IFERROR(HistoricalFS!G19,0)</f>
      </c>
      <c r="H12" s="34">
        <f>IFERROR(HistoricalFS!H19,0)</f>
      </c>
      <c r="I12" s="34">
        <f>IFERROR(HistoricalFS!I19,0)</f>
      </c>
      <c r="J12" s="34">
        <f>IFERROR(HistoricalFS!J19,0)</f>
      </c>
      <c r="K12" s="34">
        <f>IFERROR(HistoricalFS!K19,0)</f>
      </c>
      <c r="L12" s="34">
        <f>IFERROR(HistoricalFS!L19,0)</f>
      </c>
      <c r="O12" s="37">
        <f t="shared" ref="O12:O15" si="2">IFERROR(AVERAGE(C12:L12),0)</f>
      </c>
      <c r="P12" s="37">
        <f t="shared" si="1"/>
      </c>
    </row>
    <row r="13" spans="2:16" x14ac:dyDescent="0.35">
      <c r="B13" t="s">
        <v>133</v>
      </c>
      <c r="C13" s="34">
        <f>IFERROR((HistoricalFS!C18-HistoricalFS!C24)/HistoricalFS!C6,0)</f>
      </c>
      <c r="D13" s="34">
        <f>IFERROR((HistoricalFS!D18-HistoricalFS!D24)/HistoricalFS!D6,0)</f>
      </c>
      <c r="E13" s="34">
        <f>IFERROR((HistoricalFS!E18-HistoricalFS!E24)/HistoricalFS!E6,0)</f>
      </c>
      <c r="F13" s="34">
        <f>IFERROR((HistoricalFS!F18-HistoricalFS!F24)/HistoricalFS!F6,0)</f>
      </c>
      <c r="G13" s="34">
        <f>IFERROR((HistoricalFS!G18-HistoricalFS!G24)/HistoricalFS!G6,0)</f>
      </c>
      <c r="H13" s="34">
        <f>IFERROR((HistoricalFS!H18-HistoricalFS!H24)/HistoricalFS!H6,0)</f>
      </c>
      <c r="I13" s="34">
        <f>IFERROR((HistoricalFS!I18-HistoricalFS!I24)/HistoricalFS!I6,0)</f>
      </c>
      <c r="J13" s="34">
        <f>IFERROR((HistoricalFS!J18-HistoricalFS!J24)/HistoricalFS!J6,0)</f>
      </c>
      <c r="K13" s="34">
        <f>IFERROR((HistoricalFS!K18-HistoricalFS!K24)/HistoricalFS!K6,0)</f>
      </c>
      <c r="L13" s="34">
        <f>IFERROR((HistoricalFS!L18-HistoricalFS!L24)/HistoricalFS!L6,0)</f>
      </c>
      <c r="O13" s="37">
        <f t="shared" si="2"/>
      </c>
      <c r="P13" s="37">
        <f t="shared" si="1"/>
      </c>
    </row>
    <row r="14" spans="2:16" x14ac:dyDescent="0.35">
      <c r="B14" t="s">
        <v>157</v>
      </c>
      <c r="C14" s="34">
        <f>IFERROR(HistoricalFS!C28,0)</f>
      </c>
      <c r="D14" s="34">
        <f>IFERROR(HistoricalFS!D28,0)</f>
      </c>
      <c r="E14" s="34">
        <f>IFERROR(HistoricalFS!E28,0)</f>
      </c>
      <c r="F14" s="34">
        <f>IFERROR(HistoricalFS!F28,0)</f>
      </c>
      <c r="G14" s="34">
        <f>IFERROR(HistoricalFS!G28,0)</f>
      </c>
      <c r="H14" s="34">
        <f>IFERROR(HistoricalFS!H28,0)</f>
      </c>
      <c r="I14" s="34">
        <f>IFERROR(HistoricalFS!I28,0)</f>
      </c>
      <c r="J14" s="34">
        <f>IFERROR(HistoricalFS!J28,0)</f>
      </c>
      <c r="K14" s="34">
        <f>IFERROR(HistoricalFS!K28,0)</f>
      </c>
      <c r="L14" s="34">
        <f>IFERROR(HistoricalFS!L28,0)</f>
      </c>
      <c r="O14" s="37">
        <f t="shared" si="2"/>
      </c>
      <c r="P14" s="37">
        <f t="shared" si="1"/>
      </c>
    </row>
    <row r="15" spans="2:16" x14ac:dyDescent="0.35">
      <c r="B15" s="35" t="s">
        <v>136</v>
      </c>
      <c r="C15" s="36">
        <f>IFERROR(HistoricalFS!C34,0)</f>
      </c>
      <c r="D15" s="36">
        <f>IFERROR(HistoricalFS!D34,0)</f>
      </c>
      <c r="E15" s="36">
        <f>IFERROR(HistoricalFS!E34,0)</f>
      </c>
      <c r="F15" s="36">
        <f>IFERROR(HistoricalFS!F34,0)</f>
      </c>
      <c r="G15" s="36">
        <f>IFERROR(HistoricalFS!G34,0)</f>
      </c>
      <c r="H15" s="36">
        <f>IFERROR(HistoricalFS!H34,0)</f>
      </c>
      <c r="I15" s="36">
        <f>IFERROR(HistoricalFS!I34,0)</f>
      </c>
      <c r="J15" s="36">
        <f>IFERROR(HistoricalFS!J34,0)</f>
      </c>
      <c r="K15" s="36">
        <f>IFERROR(HistoricalFS!K34,0)</f>
      </c>
      <c r="L15" s="36">
        <f>IFERROR(HistoricalFS!L34,0)</f>
      </c>
      <c r="M15" s="35"/>
      <c r="N15" s="35"/>
      <c r="O15" s="46">
        <f t="shared" si="2"/>
      </c>
      <c r="P15" s="46">
        <f t="shared" si="1"/>
      </c>
    </row>
    <row r="16" spans="2:16" x14ac:dyDescent="0.35">
      <c r="C16" s="30"/>
      <c r="D16" s="30"/>
      <c r="E16" s="30"/>
      <c r="F16" s="30"/>
      <c r="G16" s="30"/>
      <c r="H16" s="30"/>
      <c r="I16" s="30"/>
      <c r="J16" s="30"/>
      <c r="K16" s="30"/>
      <c r="L16" s="30"/>
      <c r="O16" s="37"/>
      <c r="P16" s="37"/>
    </row>
    <row r="17" spans="2:16" x14ac:dyDescent="0.35">
      <c r="B17" s="32" t="s">
        <v>137</v>
      </c>
      <c r="C17" s="33">
        <f>IFERROR(HistoricalFS!C16,0)</f>
      </c>
      <c r="D17" s="33">
        <f>IFERROR(HistoricalFS!D16,0)</f>
      </c>
      <c r="E17" s="33">
        <f>IFERROR(HistoricalFS!E16,0)</f>
      </c>
      <c r="F17" s="33">
        <f>IFERROR(HistoricalFS!F16,0)</f>
      </c>
      <c r="G17" s="33">
        <f>IFERROR(HistoricalFS!G16,0)</f>
      </c>
      <c r="H17" s="33">
        <f>IFERROR(HistoricalFS!H16,0)</f>
      </c>
      <c r="I17" s="33">
        <f>IFERROR(HistoricalFS!I16,0)</f>
      </c>
      <c r="J17" s="33">
        <f>IFERROR(HistoricalFS!J16,0)</f>
      </c>
      <c r="K17" s="33">
        <f>IFERROR(HistoricalFS!K16,0)</f>
      </c>
      <c r="L17" s="33">
        <f>IFERROR(HistoricalFS!L16,0)</f>
      </c>
      <c r="M17" s="32"/>
      <c r="N17" s="32"/>
      <c r="O17" s="45">
        <f t="shared" ref="O17:O25" si="3">IFERROR(AVERAGE(C17:L17),0)</f>
      </c>
      <c r="P17" s="45">
        <f t="shared" si="1"/>
      </c>
    </row>
    <row r="18" spans="2:16" x14ac:dyDescent="0.35">
      <c r="B18" t="s">
        <v>138</v>
      </c>
      <c r="C18" s="34">
        <f>IFERROR(HistoricalFS!C25,0)</f>
      </c>
      <c r="D18" s="34">
        <f>IFERROR(HistoricalFS!D25,0)</f>
      </c>
      <c r="E18" s="34">
        <f>IFERROR(HistoricalFS!E25,0)</f>
      </c>
      <c r="F18" s="34">
        <f>IFERROR(HistoricalFS!F25,0)</f>
      </c>
      <c r="G18" s="34">
        <f>IFERROR(HistoricalFS!G25,0)</f>
      </c>
      <c r="H18" s="34">
        <f>IFERROR(HistoricalFS!H25,0)</f>
      </c>
      <c r="I18" s="34">
        <f>IFERROR(HistoricalFS!I25,0)</f>
      </c>
      <c r="J18" s="34">
        <f>IFERROR(HistoricalFS!J25,0)</f>
      </c>
      <c r="K18" s="34">
        <f>IFERROR(HistoricalFS!K25,0)</f>
      </c>
      <c r="L18" s="34">
        <f>IFERROR(HistoricalFS!L25,0)</f>
      </c>
      <c r="O18" s="37">
        <f t="shared" si="3"/>
      </c>
      <c r="P18" s="37">
        <f t="shared" si="1"/>
      </c>
    </row>
    <row r="19" spans="2:16" x14ac:dyDescent="0.35">
      <c r="B19" s="35" t="s">
        <v>139</v>
      </c>
      <c r="C19" s="36">
        <f>C13</f>
      </c>
      <c r="D19" s="36">
        <f t="shared" ref="D19:L19" si="4">D13</f>
      </c>
      <c r="E19" s="36">
        <f t="shared" si="4"/>
      </c>
      <c r="F19" s="36">
        <f t="shared" si="4"/>
      </c>
      <c r="G19" s="36">
        <f t="shared" si="4"/>
      </c>
      <c r="H19" s="36">
        <f t="shared" si="4"/>
      </c>
      <c r="I19" s="36">
        <f t="shared" si="4"/>
      </c>
      <c r="J19" s="36">
        <f t="shared" si="4"/>
      </c>
      <c r="K19" s="36">
        <f t="shared" si="4"/>
      </c>
      <c r="L19" s="36">
        <f t="shared" si="4"/>
      </c>
      <c r="M19" s="35"/>
      <c r="N19" s="35"/>
      <c r="O19" s="46">
        <f t="shared" si="3"/>
      </c>
      <c r="P19" s="46">
        <f t="shared" si="1"/>
      </c>
    </row>
    <row r="20" spans="2:16" x14ac:dyDescent="0.35">
      <c r="C20" s="30"/>
      <c r="D20" s="30"/>
      <c r="E20" s="30"/>
      <c r="F20" s="30"/>
      <c r="G20" s="30"/>
      <c r="H20" s="30"/>
      <c r="I20" s="30"/>
      <c r="J20" s="30"/>
      <c r="K20" s="30"/>
      <c r="L20" s="30"/>
      <c r="O20" s="44"/>
      <c r="P20" s="44"/>
    </row>
    <row r="21" spans="2:16" x14ac:dyDescent="0.35">
      <c r="B21" s="32" t="s">
        <v>140</v>
      </c>
      <c r="C21" s="33">
        <f>IFERROR((HistoricalFS!C18-HistoricalFS!C24)/(SUM(HistoricalFS!C47:C49)),0)</f>
      </c>
      <c r="D21" s="33">
        <f>IFERROR((HistoricalFS!D18-HistoricalFS!D24)/(SUM(HistoricalFS!D47:D49)),0)</f>
      </c>
      <c r="E21" s="33">
        <f>IFERROR((HistoricalFS!E18-HistoricalFS!E24)/(SUM(HistoricalFS!E47:E49)),0)</f>
      </c>
      <c r="F21" s="33">
        <f>IFERROR((HistoricalFS!F18-HistoricalFS!F24)/(SUM(HistoricalFS!F47:F49)),0)</f>
      </c>
      <c r="G21" s="33">
        <f>IFERROR((HistoricalFS!G18-HistoricalFS!G24)/(SUM(HistoricalFS!G47:G49)),0)</f>
      </c>
      <c r="H21" s="33">
        <f>IFERROR((HistoricalFS!H18-HistoricalFS!H24)/(SUM(HistoricalFS!H47:H49)),0)</f>
      </c>
      <c r="I21" s="33">
        <f>IFERROR((HistoricalFS!I18-HistoricalFS!I24)/(SUM(HistoricalFS!I47:I49)),0)</f>
      </c>
      <c r="J21" s="33">
        <f>IFERROR((HistoricalFS!J18-HistoricalFS!J24)/(SUM(HistoricalFS!J47:J49)),0)</f>
      </c>
      <c r="K21" s="33">
        <f>IFERROR((HistoricalFS!K18-HistoricalFS!K24)/(SUM(HistoricalFS!K47:K49)),0)</f>
      </c>
      <c r="L21" s="33">
        <f>IFERROR((HistoricalFS!L18-HistoricalFS!L24)/(SUM(HistoricalFS!L47:L49)),0)</f>
      </c>
      <c r="M21" s="32"/>
      <c r="N21" s="32"/>
      <c r="O21" s="45">
        <f t="shared" si="3"/>
      </c>
      <c r="P21" s="45">
        <f t="shared" si="1"/>
      </c>
    </row>
    <row r="22" spans="2:16" x14ac:dyDescent="0.35">
      <c r="B22" t="s">
        <v>141</v>
      </c>
      <c r="C22" s="34">
        <f>HistoricalFS!C44</f>
      </c>
      <c r="D22" s="34">
        <f>HistoricalFS!D44</f>
      </c>
      <c r="E22" s="34">
        <f>HistoricalFS!E44</f>
      </c>
      <c r="F22" s="34">
        <f>HistoricalFS!F44</f>
      </c>
      <c r="G22" s="34">
        <f>HistoricalFS!G44</f>
      </c>
      <c r="H22" s="34">
        <f>HistoricalFS!H44</f>
      </c>
      <c r="I22" s="34">
        <f>HistoricalFS!I44</f>
      </c>
      <c r="J22" s="34">
        <f>HistoricalFS!J44</f>
      </c>
      <c r="K22" s="34">
        <f>HistoricalFS!K44</f>
      </c>
      <c r="L22" s="34">
        <f>HistoricalFS!L44</f>
      </c>
      <c r="O22" s="37">
        <f t="shared" si="3"/>
      </c>
      <c r="P22" s="37">
        <f t="shared" si="1"/>
      </c>
    </row>
    <row r="23" spans="2:16" x14ac:dyDescent="0.35">
      <c r="B23" t="s">
        <v>142</v>
      </c>
      <c r="C23" s="34">
        <f>IFERROR(HistoricalFS!C33/SUM(HistoricalFS!C47:C48),0)</f>
      </c>
      <c r="D23" s="34">
        <f>IFERROR(HistoricalFS!D33/SUM(HistoricalFS!D47:D48),0)</f>
      </c>
      <c r="E23" s="34">
        <f>IFERROR(HistoricalFS!E33/SUM(HistoricalFS!E47:E48),0)</f>
      </c>
      <c r="F23" s="34">
        <f>IFERROR(HistoricalFS!F33/SUM(HistoricalFS!F47:F48),0)</f>
      </c>
      <c r="G23" s="34">
        <f>IFERROR(HistoricalFS!G33/SUM(HistoricalFS!G47:G48),0)</f>
      </c>
      <c r="H23" s="34">
        <f>IFERROR(HistoricalFS!H33/SUM(HistoricalFS!H47:H48),0)</f>
      </c>
      <c r="I23" s="34">
        <f>IFERROR(HistoricalFS!I33/SUM(HistoricalFS!I47:I48),0)</f>
      </c>
      <c r="J23" s="34">
        <f>IFERROR(HistoricalFS!J33/SUM(HistoricalFS!J47:J48),0)</f>
      </c>
      <c r="K23" s="34">
        <f>IFERROR(HistoricalFS!K33/SUM(HistoricalFS!K47:K48),0)</f>
      </c>
      <c r="L23" s="34">
        <f>IFERROR(HistoricalFS!L33/SUM(HistoricalFS!L47:L48),0)</f>
      </c>
      <c r="O23" s="37">
        <f t="shared" si="3"/>
      </c>
      <c r="P23" s="37">
        <f t="shared" si="1"/>
      </c>
    </row>
    <row r="24" spans="2:16" x14ac:dyDescent="0.35">
      <c r="B24" t="s">
        <v>143</v>
      </c>
      <c r="C24" s="37">
        <f>IFERROR(C22*C23,0)</f>
      </c>
      <c r="D24" s="37">
        <f t="shared" ref="D24:L24" si="5">IFERROR(D22*D23,0)</f>
      </c>
      <c r="E24" s="37">
        <f t="shared" si="5"/>
      </c>
      <c r="F24" s="37">
        <f t="shared" si="5"/>
      </c>
      <c r="G24" s="37">
        <f t="shared" si="5"/>
      </c>
      <c r="H24" s="37">
        <f t="shared" si="5"/>
      </c>
      <c r="I24" s="37">
        <f t="shared" si="5"/>
      </c>
      <c r="J24" s="37">
        <f t="shared" si="5"/>
      </c>
      <c r="K24" s="37">
        <f t="shared" si="5"/>
      </c>
      <c r="L24" s="37">
        <f t="shared" si="5"/>
      </c>
      <c r="O24" s="37">
        <f t="shared" si="3"/>
      </c>
      <c r="P24" s="37">
        <f t="shared" si="1"/>
      </c>
    </row>
    <row r="25" spans="2:16" x14ac:dyDescent="0.35">
      <c r="B25" s="35" t="s">
        <v>144</v>
      </c>
      <c r="C25" s="38">
        <f>IFERROR((HistoricalFS!C18-HistoricalFS!C24)/HistoricalFS!C21,0)</f>
      </c>
      <c r="D25" s="38">
        <f>IFERROR((HistoricalFS!D18-HistoricalFS!D24)/HistoricalFS!D21,0)</f>
      </c>
      <c r="E25" s="38">
        <f>IFERROR((HistoricalFS!E18-HistoricalFS!E24)/HistoricalFS!E21,0)</f>
      </c>
      <c r="F25" s="38">
        <f>IFERROR((HistoricalFS!F18-HistoricalFS!F24)/HistoricalFS!F21,0)</f>
      </c>
      <c r="G25" s="38">
        <f>IFERROR((HistoricalFS!G18-HistoricalFS!G24)/HistoricalFS!G21,0)</f>
      </c>
      <c r="H25" s="38">
        <f>IFERROR((HistoricalFS!H18-HistoricalFS!H24)/HistoricalFS!H21,0)</f>
      </c>
      <c r="I25" s="38">
        <f>IFERROR((HistoricalFS!I18-HistoricalFS!I24)/HistoricalFS!I21,0)</f>
      </c>
      <c r="J25" s="38">
        <f>IFERROR((HistoricalFS!J18-HistoricalFS!J24)/HistoricalFS!J21,0)</f>
      </c>
      <c r="K25" s="38">
        <f>IFERROR((HistoricalFS!K18-HistoricalFS!K24)/HistoricalFS!K21,0)</f>
      </c>
      <c r="L25" s="38">
        <f>IFERROR((HistoricalFS!L18-HistoricalFS!L24)/HistoricalFS!L21,0)</f>
      </c>
      <c r="M25" s="35"/>
      <c r="N25" s="35"/>
      <c r="O25" s="38">
        <f t="shared" si="3"/>
      </c>
      <c r="P25" s="38">
        <f t="shared" si="1"/>
      </c>
    </row>
    <row r="26" spans="2:16" x14ac:dyDescent="0.35">
      <c r="C26" s="30"/>
      <c r="D26" s="30"/>
      <c r="E26" s="30"/>
      <c r="F26" s="30"/>
      <c r="G26" s="30"/>
      <c r="H26" s="30"/>
      <c r="I26" s="30"/>
      <c r="J26" s="30"/>
      <c r="K26" s="30"/>
      <c r="L26" s="30"/>
      <c r="P26" s="44"/>
    </row>
    <row r="27" spans="2:16" x14ac:dyDescent="0.35">
      <c r="B27" s="32" t="s">
        <v>145</v>
      </c>
      <c r="C27" s="39">
        <f>IFERROR(HistoricalFS!C6/HistoricalFS!C59,0)</f>
      </c>
      <c r="D27" s="39">
        <f>IFERROR(HistoricalFS!D6/HistoricalFS!D59,0)</f>
      </c>
      <c r="E27" s="39">
        <f>IFERROR(HistoricalFS!E6/HistoricalFS!E59,0)</f>
      </c>
      <c r="F27" s="39">
        <f>IFERROR(HistoricalFS!F6/HistoricalFS!F59,0)</f>
      </c>
      <c r="G27" s="39">
        <f>IFERROR(HistoricalFS!G6/HistoricalFS!G59,0)</f>
      </c>
      <c r="H27" s="39">
        <f>IFERROR(HistoricalFS!H6/HistoricalFS!H59,0)</f>
      </c>
      <c r="I27" s="39">
        <f>IFERROR(HistoricalFS!I6/HistoricalFS!I59,0)</f>
      </c>
      <c r="J27" s="39">
        <f>IFERROR(HistoricalFS!J6/HistoricalFS!J59,0)</f>
      </c>
      <c r="K27" s="39">
        <f>IFERROR(HistoricalFS!K6/HistoricalFS!K59,0)</f>
      </c>
      <c r="L27" s="39">
        <f>IFERROR(HistoricalFS!L6/HistoricalFS!L59,0)</f>
      </c>
      <c r="M27" s="32"/>
      <c r="N27" s="32"/>
      <c r="O27" s="39">
        <f t="shared" ref="O27:O31" si="6">IFERROR(AVERAGE(C27:L27),0)</f>
      </c>
      <c r="P27" s="39">
        <f t="shared" si="1"/>
      </c>
    </row>
    <row r="28" spans="2:16" x14ac:dyDescent="0.35">
      <c r="B28" t="s">
        <v>146</v>
      </c>
      <c r="C28" s="31">
        <f>IFERROR(HistoricalFS!C9/HistoricalFS!C50,0)</f>
      </c>
      <c r="D28" s="31">
        <f>IFERROR(HistoricalFS!D9/HistoricalFS!D50,0)</f>
      </c>
      <c r="E28" s="31">
        <f>IFERROR(HistoricalFS!E9/HistoricalFS!E50,0)</f>
      </c>
      <c r="F28" s="31">
        <f>IFERROR(HistoricalFS!F9/HistoricalFS!F50,0)</f>
      </c>
      <c r="G28" s="31">
        <f>IFERROR(HistoricalFS!G9/HistoricalFS!G50,0)</f>
      </c>
      <c r="H28" s="31">
        <f>IFERROR(HistoricalFS!H9/HistoricalFS!H50,0)</f>
      </c>
      <c r="I28" s="31">
        <f>IFERROR(HistoricalFS!I9/HistoricalFS!I50,0)</f>
      </c>
      <c r="J28" s="31">
        <f>IFERROR(HistoricalFS!J9/HistoricalFS!J50,0)</f>
      </c>
      <c r="K28" s="31">
        <f>IFERROR(HistoricalFS!K9/HistoricalFS!K50,0)</f>
      </c>
      <c r="L28" s="31">
        <f>IFERROR(HistoricalFS!L9/HistoricalFS!L50,0)</f>
      </c>
      <c r="O28" s="31">
        <f t="shared" si="6"/>
      </c>
      <c r="P28" s="31">
        <f t="shared" si="1"/>
      </c>
    </row>
    <row r="29" spans="2:16" x14ac:dyDescent="0.35">
      <c r="B29" t="s">
        <v>147</v>
      </c>
      <c r="C29" s="31">
        <f>IFERROR(HistoricalFS!C9/HistoricalFS!C60,0)</f>
      </c>
      <c r="D29" s="31">
        <f>IFERROR(HistoricalFS!D9/HistoricalFS!D60,0)</f>
      </c>
      <c r="E29" s="31">
        <f>IFERROR(HistoricalFS!E9/HistoricalFS!E60,0)</f>
      </c>
      <c r="F29" s="31">
        <f>IFERROR(HistoricalFS!F9/HistoricalFS!F60,0)</f>
      </c>
      <c r="G29" s="31">
        <f>IFERROR(HistoricalFS!G9/HistoricalFS!G60,0)</f>
      </c>
      <c r="H29" s="31">
        <f>IFERROR(HistoricalFS!H9/HistoricalFS!H60,0)</f>
      </c>
      <c r="I29" s="31">
        <f>IFERROR(HistoricalFS!I9/HistoricalFS!I60,0)</f>
      </c>
      <c r="J29" s="31">
        <f>IFERROR(HistoricalFS!J9/HistoricalFS!J60,0)</f>
      </c>
      <c r="K29" s="31">
        <f>IFERROR(HistoricalFS!K9/HistoricalFS!K60,0)</f>
      </c>
      <c r="L29" s="31">
        <f>IFERROR(HistoricalFS!L9/HistoricalFS!L60,0)</f>
      </c>
      <c r="O29" s="31">
        <f t="shared" si="6"/>
      </c>
      <c r="P29" s="31">
        <f t="shared" si="1"/>
      </c>
    </row>
    <row r="30" spans="2:16" x14ac:dyDescent="0.35">
      <c r="B30" t="s">
        <v>148</v>
      </c>
      <c r="C30" s="31">
        <f>IFERROR(HistoricalFS!C6/HistoricalFS!C53,0)</f>
      </c>
      <c r="D30" s="31">
        <f>IFERROR(HistoricalFS!D6/AVERAGE(HistoricalFS!C53:D53),0)</f>
      </c>
      <c r="E30" s="31">
        <f>IFERROR(HistoricalFS!E6/AVERAGE(HistoricalFS!D53:E53),0)</f>
      </c>
      <c r="F30" s="31">
        <f>IFERROR(HistoricalFS!F6/AVERAGE(HistoricalFS!E53:F53),0)</f>
      </c>
      <c r="G30" s="31">
        <f>IFERROR(HistoricalFS!G6/AVERAGE(HistoricalFS!F53:G53),0)</f>
      </c>
      <c r="H30" s="31">
        <f>IFERROR(HistoricalFS!H6/AVERAGE(HistoricalFS!G53:H53),0)</f>
      </c>
      <c r="I30" s="31">
        <f>IFERROR(HistoricalFS!I6/AVERAGE(HistoricalFS!H53:I53),0)</f>
      </c>
      <c r="J30" s="31">
        <f>IFERROR(HistoricalFS!J6/AVERAGE(HistoricalFS!I53:J53),0)</f>
      </c>
      <c r="K30" s="31">
        <f>IFERROR(HistoricalFS!K6/AVERAGE(HistoricalFS!J53:K53),0)</f>
      </c>
      <c r="L30" s="31">
        <f>IFERROR(HistoricalFS!L6/AVERAGE(HistoricalFS!K53:L53),0)</f>
      </c>
      <c r="O30" s="31">
        <f t="shared" si="6"/>
      </c>
      <c r="P30" s="31">
        <f t="shared" si="1"/>
      </c>
    </row>
    <row r="31" spans="2:16" x14ac:dyDescent="0.35">
      <c r="B31" s="35" t="s">
        <v>149</v>
      </c>
      <c r="C31" s="38">
        <f>IFERROR(HistoricalFS!C6/SUM(HistoricalFS!C47:C48),0)</f>
      </c>
      <c r="D31" s="38">
        <f>IFERROR(HistoricalFS!D6/SUM(HistoricalFS!D47:D48),0)</f>
      </c>
      <c r="E31" s="38">
        <f>IFERROR(HistoricalFS!E6/SUM(HistoricalFS!E47:E48),0)</f>
      </c>
      <c r="F31" s="38">
        <f>IFERROR(HistoricalFS!F6/SUM(HistoricalFS!F47:F48),0)</f>
      </c>
      <c r="G31" s="38">
        <f>IFERROR(HistoricalFS!G6/SUM(HistoricalFS!G47:G48),0)</f>
      </c>
      <c r="H31" s="38">
        <f>IFERROR(HistoricalFS!H6/SUM(HistoricalFS!H47:H48),0)</f>
      </c>
      <c r="I31" s="38">
        <f>IFERROR(HistoricalFS!I6/SUM(HistoricalFS!I47:I48),0)</f>
      </c>
      <c r="J31" s="38">
        <f>IFERROR(HistoricalFS!J6/SUM(HistoricalFS!J47:J48),0)</f>
      </c>
      <c r="K31" s="38">
        <f>IFERROR(HistoricalFS!K6/SUM(HistoricalFS!K47:K48),0)</f>
      </c>
      <c r="L31" s="38">
        <f>IFERROR(HistoricalFS!L6/SUM(HistoricalFS!L47:L48),0)</f>
      </c>
      <c r="M31" s="35"/>
      <c r="N31" s="35"/>
      <c r="O31" s="38">
        <f t="shared" si="6"/>
      </c>
      <c r="P31" s="38">
        <f t="shared" si="1"/>
      </c>
    </row>
    <row r="32" spans="2:16" x14ac:dyDescent="0.35">
      <c r="C32" s="31"/>
      <c r="D32" s="31"/>
      <c r="E32" s="31"/>
      <c r="F32" s="31"/>
      <c r="G32" s="31"/>
      <c r="H32" s="31"/>
      <c r="I32" s="31"/>
      <c r="J32" s="31"/>
      <c r="K32" s="31"/>
      <c r="L32" s="31"/>
      <c r="P32" s="44"/>
    </row>
    <row r="33" spans="2:16" x14ac:dyDescent="0.35">
      <c r="B33" s="40" t="s">
        <v>158</v>
      </c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32"/>
      <c r="N33" s="32"/>
      <c r="O33" s="32"/>
      <c r="P33" s="47"/>
    </row>
    <row r="34" spans="2:16" x14ac:dyDescent="0.35">
      <c r="B34" t="s">
        <v>153</v>
      </c>
      <c r="C34" s="42">
        <f>IFERROR(365/C27,0)</f>
      </c>
      <c r="D34" s="42">
        <f t="shared" ref="D34:L34" si="7">IFERROR(365/D27,0)</f>
      </c>
      <c r="E34" s="42">
        <f t="shared" si="7"/>
      </c>
      <c r="F34" s="42">
        <f t="shared" si="7"/>
      </c>
      <c r="G34" s="42">
        <f t="shared" si="7"/>
      </c>
      <c r="H34" s="42">
        <f t="shared" si="7"/>
      </c>
      <c r="I34" s="42">
        <f t="shared" si="7"/>
      </c>
      <c r="J34" s="42">
        <f t="shared" si="7"/>
      </c>
      <c r="K34" s="42">
        <f t="shared" si="7"/>
      </c>
      <c r="L34" s="42">
        <f t="shared" si="7"/>
      </c>
      <c r="O34" s="42">
        <f t="shared" ref="O34:O37" si="8">IFERROR(AVERAGE(C34:L34),0)</f>
      </c>
      <c r="P34" s="42">
        <f t="shared" si="1"/>
      </c>
    </row>
    <row r="35" spans="2:16" x14ac:dyDescent="0.35">
      <c r="B35" t="s">
        <v>150</v>
      </c>
      <c r="C35" s="42">
        <f>IFERROR(365/C28,0)</f>
      </c>
      <c r="D35" s="42">
        <f t="shared" ref="D35:L35" si="9">IFERROR(365/D28,0)</f>
      </c>
      <c r="E35" s="42">
        <f t="shared" si="9"/>
      </c>
      <c r="F35" s="42">
        <f t="shared" si="9"/>
      </c>
      <c r="G35" s="42">
        <f t="shared" si="9"/>
      </c>
      <c r="H35" s="42">
        <f t="shared" si="9"/>
      </c>
      <c r="I35" s="42">
        <f t="shared" si="9"/>
      </c>
      <c r="J35" s="42">
        <f t="shared" si="9"/>
      </c>
      <c r="K35" s="42">
        <f t="shared" si="9"/>
      </c>
      <c r="L35" s="42">
        <f t="shared" si="9"/>
      </c>
      <c r="O35" s="42">
        <f t="shared" si="8"/>
      </c>
      <c r="P35" s="42">
        <f t="shared" si="1"/>
      </c>
    </row>
    <row r="36" spans="2:16" x14ac:dyDescent="0.35">
      <c r="B36" t="s">
        <v>151</v>
      </c>
      <c r="C36" s="42">
        <f>IFERROR(365/C29,0)</f>
      </c>
      <c r="D36" s="42">
        <f t="shared" ref="D36:L36" si="10">IFERROR(365/D29,0)</f>
      </c>
      <c r="E36" s="42">
        <f t="shared" si="10"/>
      </c>
      <c r="F36" s="42">
        <f t="shared" si="10"/>
      </c>
      <c r="G36" s="42">
        <f t="shared" si="10"/>
      </c>
      <c r="H36" s="42">
        <f t="shared" si="10"/>
      </c>
      <c r="I36" s="42">
        <f t="shared" si="10"/>
      </c>
      <c r="J36" s="42">
        <f t="shared" si="10"/>
      </c>
      <c r="K36" s="42">
        <f t="shared" si="10"/>
      </c>
      <c r="L36" s="42">
        <f t="shared" si="10"/>
      </c>
      <c r="O36" s="42">
        <f t="shared" si="8"/>
      </c>
      <c r="P36" s="42">
        <f t="shared" si="1"/>
      </c>
    </row>
    <row r="37" spans="2:16" x14ac:dyDescent="0.35">
      <c r="B37" s="35" t="s">
        <v>152</v>
      </c>
      <c r="C37" s="43">
        <f>IFERROR(SUM(C36,C34)-C35,0)</f>
      </c>
      <c r="D37" s="43">
        <f t="shared" ref="D37:L37" si="11">IFERROR(SUM(D36,D34)-D35,0)</f>
      </c>
      <c r="E37" s="43">
        <f t="shared" si="11"/>
      </c>
      <c r="F37" s="43">
        <f t="shared" si="11"/>
      </c>
      <c r="G37" s="43">
        <f t="shared" si="11"/>
      </c>
      <c r="H37" s="43">
        <f t="shared" si="11"/>
      </c>
      <c r="I37" s="43">
        <f t="shared" si="11"/>
      </c>
      <c r="J37" s="43">
        <f t="shared" si="11"/>
      </c>
      <c r="K37" s="43">
        <f t="shared" si="11"/>
      </c>
      <c r="L37" s="43">
        <f t="shared" si="11"/>
      </c>
      <c r="M37" s="35"/>
      <c r="N37" s="35"/>
      <c r="O37" s="43">
        <f t="shared" si="8"/>
      </c>
      <c r="P37" s="43">
        <f t="shared" si="1"/>
      </c>
    </row>
    <row r="38" spans="2:16" x14ac:dyDescent="0.35">
      <c r="C38" s="30"/>
      <c r="D38" s="30"/>
      <c r="E38" s="30"/>
      <c r="F38" s="30"/>
      <c r="G38" s="30"/>
      <c r="H38" s="30"/>
      <c r="I38" s="30"/>
      <c r="J38" s="30"/>
      <c r="K38" s="30"/>
      <c r="L38" s="30"/>
      <c r="P38" s="44"/>
    </row>
    <row r="39" spans="2:16" x14ac:dyDescent="0.35">
      <c r="B39" s="32" t="s">
        <v>154</v>
      </c>
      <c r="C39" s="39">
        <f>IFERROR(HistoricalFS!C79/HistoricalFS!C6,0)</f>
      </c>
      <c r="D39" s="39">
        <f>IFERROR(HistoricalFS!D79/HistoricalFS!D6,0)</f>
      </c>
      <c r="E39" s="39">
        <f>IFERROR(HistoricalFS!E79/HistoricalFS!E6,0)</f>
      </c>
      <c r="F39" s="39">
        <f>IFERROR(HistoricalFS!F79/HistoricalFS!F6,0)</f>
      </c>
      <c r="G39" s="39">
        <f>IFERROR(HistoricalFS!G79/HistoricalFS!G6,0)</f>
      </c>
      <c r="H39" s="39">
        <f>IFERROR(HistoricalFS!H79/HistoricalFS!H6,0)</f>
      </c>
      <c r="I39" s="39">
        <f>IFERROR(HistoricalFS!I79/HistoricalFS!I6,0)</f>
      </c>
      <c r="J39" s="39">
        <f>IFERROR(HistoricalFS!J79/HistoricalFS!J6,0)</f>
      </c>
      <c r="K39" s="39">
        <f>IFERROR(HistoricalFS!K79/HistoricalFS!K6,0)</f>
      </c>
      <c r="L39" s="39">
        <f>IFERROR(HistoricalFS!L79/HistoricalFS!L6,0)</f>
      </c>
      <c r="M39" s="32"/>
      <c r="N39" s="32"/>
      <c r="O39" s="39">
        <f t="shared" ref="O39:O41" si="12">IFERROR(AVERAGE(C39:L39),0)</f>
      </c>
      <c r="P39" s="39">
        <f t="shared" si="1"/>
      </c>
    </row>
    <row r="40" spans="2:16" x14ac:dyDescent="0.35">
      <c r="B40" t="s">
        <v>155</v>
      </c>
      <c r="C40" s="31">
        <f>IFERROR(HistoricalFS!C79/HistoricalFS!C64,0)</f>
      </c>
      <c r="D40" s="31">
        <f>IFERROR(HistoricalFS!D79/HistoricalFS!D64,0)</f>
      </c>
      <c r="E40" s="31">
        <f>IFERROR(HistoricalFS!E79/HistoricalFS!E64,0)</f>
      </c>
      <c r="F40" s="31">
        <f>IFERROR(HistoricalFS!F79/HistoricalFS!F64,0)</f>
      </c>
      <c r="G40" s="31">
        <f>IFERROR(HistoricalFS!G79/HistoricalFS!G64,0)</f>
      </c>
      <c r="H40" s="31">
        <f>IFERROR(HistoricalFS!H79/HistoricalFS!H64,0)</f>
      </c>
      <c r="I40" s="31">
        <f>IFERROR(HistoricalFS!I79/HistoricalFS!I64,0)</f>
      </c>
      <c r="J40" s="31">
        <f>IFERROR(HistoricalFS!J79/HistoricalFS!J64,0)</f>
      </c>
      <c r="K40" s="31">
        <f>IFERROR(HistoricalFS!K79/HistoricalFS!K64,0)</f>
      </c>
      <c r="L40" s="31">
        <f>IFERROR(HistoricalFS!L79/HistoricalFS!L64,0)</f>
      </c>
      <c r="O40" s="31">
        <f t="shared" si="12"/>
      </c>
      <c r="P40" s="31">
        <f t="shared" si="1"/>
      </c>
    </row>
    <row r="41" spans="2:16" x14ac:dyDescent="0.35">
      <c r="B41" s="35" t="s">
        <v>156</v>
      </c>
      <c r="C41" s="38">
        <f>IFERROR(HistoricalFS!C79/HistoricalFS!C49,0)</f>
      </c>
      <c r="D41" s="38">
        <f>IFERROR(HistoricalFS!D79/HistoricalFS!D49,0)</f>
      </c>
      <c r="E41" s="38">
        <f>IFERROR(HistoricalFS!E79/HistoricalFS!E49,0)</f>
      </c>
      <c r="F41" s="38">
        <f>IFERROR(HistoricalFS!F79/HistoricalFS!F49,0)</f>
      </c>
      <c r="G41" s="38">
        <f>IFERROR(HistoricalFS!G79/HistoricalFS!G49,0)</f>
      </c>
      <c r="H41" s="38">
        <f>IFERROR(HistoricalFS!H79/HistoricalFS!H49,0)</f>
      </c>
      <c r="I41" s="38">
        <f>IFERROR(HistoricalFS!I79/HistoricalFS!I49,0)</f>
      </c>
      <c r="J41" s="38">
        <f>IFERROR(HistoricalFS!J79/HistoricalFS!J49,0)</f>
      </c>
      <c r="K41" s="38">
        <f>IFERROR(HistoricalFS!K79/HistoricalFS!K49,0)</f>
      </c>
      <c r="L41" s="38">
        <f>IFERROR(HistoricalFS!L79/HistoricalFS!L49,0)</f>
      </c>
      <c r="M41" s="35"/>
      <c r="N41" s="35"/>
      <c r="O41" s="38">
        <f t="shared" si="12"/>
      </c>
      <c r="P41" s="38">
        <f t="shared" si="1"/>
      </c>
    </row>
  </sheetData>
  <mergeCells count="1">
    <mergeCell ref="B2:P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 xr2:uid="{4395523B-26C3-45D7-BD0F-6474E2137F90}">
          <x14:colorSeries rgb="FF376092"/>
          <x14:colorNegative rgb="FFD00000"/>
          <x14:colorAxis rgb="FF000000"/>
          <x14:colorMarkers theme="1"/>
          <x14:colorFirst rgb="FFD00000"/>
          <x14:colorLast rgb="FFD00000"/>
          <x14:colorHigh rgb="FF00B050"/>
          <x14:colorLow rgb="FFD00000"/>
          <x14:sparklines>
            <x14:sparkline>
              <xm:f>'Ratio Analysis'!D5:L5</xm:f>
              <xm:sqref>N5</xm:sqref>
            </x14:sparkline>
            <x14:sparkline>
              <xm:f>'Ratio Analysis'!D6:L6</xm:f>
              <xm:sqref>N6</xm:sqref>
            </x14:sparkline>
            <x14:sparkline>
              <xm:f>'Ratio Analysis'!D7:L7</xm:f>
              <xm:sqref>N7</xm:sqref>
            </x14:sparkline>
            <x14:sparkline>
              <xm:f>'Ratio Analysis'!D8:L8</xm:f>
              <xm:sqref>N8</xm:sqref>
            </x14:sparkline>
            <x14:sparkline>
              <xm:f>'Ratio Analysis'!D9:L9</xm:f>
              <xm:sqref>N9</xm:sqref>
            </x14:sparkline>
          </x14:sparklines>
        </x14:sparklineGroup>
        <x14:sparklineGroup displayEmptyCellsAs="gap" markers="1" high="1" xr2:uid="{F8D15203-33BD-41E2-882B-3F3024F17B3D}">
          <x14:colorSeries rgb="FF376092"/>
          <x14:colorNegative rgb="FFD00000"/>
          <x14:colorAxis rgb="FF000000"/>
          <x14:colorMarkers theme="1"/>
          <x14:colorFirst rgb="FFD00000"/>
          <x14:colorLast rgb="FFD00000"/>
          <x14:colorHigh rgb="FF00B050"/>
          <x14:colorLow rgb="FFD00000"/>
          <x14:sparklines>
            <x14:sparkline>
              <xm:f>'Ratio Analysis'!C11:L11</xm:f>
              <xm:sqref>N11</xm:sqref>
            </x14:sparkline>
            <x14:sparkline>
              <xm:f>'Ratio Analysis'!C12:L12</xm:f>
              <xm:sqref>N12</xm:sqref>
            </x14:sparkline>
            <x14:sparkline>
              <xm:f>'Ratio Analysis'!C13:L13</xm:f>
              <xm:sqref>N13</xm:sqref>
            </x14:sparkline>
            <x14:sparkline>
              <xm:f>'Ratio Analysis'!C14:L14</xm:f>
              <xm:sqref>N14</xm:sqref>
            </x14:sparkline>
            <x14:sparkline>
              <xm:f>'Ratio Analysis'!C15:L15</xm:f>
              <xm:sqref>N15</xm:sqref>
            </x14:sparkline>
            <x14:sparkline>
              <xm:f>'Ratio Analysis'!C16:L16</xm:f>
              <xm:sqref>N16</xm:sqref>
            </x14:sparkline>
            <x14:sparkline>
              <xm:f>'Ratio Analysis'!C17:L17</xm:f>
              <xm:sqref>N17</xm:sqref>
            </x14:sparkline>
            <x14:sparkline>
              <xm:f>'Ratio Analysis'!C18:L18</xm:f>
              <xm:sqref>N18</xm:sqref>
            </x14:sparkline>
            <x14:sparkline>
              <xm:f>'Ratio Analysis'!C19:L19</xm:f>
              <xm:sqref>N19</xm:sqref>
            </x14:sparkline>
            <x14:sparkline>
              <xm:f>'Ratio Analysis'!C20:L20</xm:f>
              <xm:sqref>N20</xm:sqref>
            </x14:sparkline>
            <x14:sparkline>
              <xm:f>'Ratio Analysis'!C21:L21</xm:f>
              <xm:sqref>N21</xm:sqref>
            </x14:sparkline>
            <x14:sparkline>
              <xm:f>'Ratio Analysis'!C22:L22</xm:f>
              <xm:sqref>N22</xm:sqref>
            </x14:sparkline>
            <x14:sparkline>
              <xm:f>'Ratio Analysis'!C23:L23</xm:f>
              <xm:sqref>N23</xm:sqref>
            </x14:sparkline>
            <x14:sparkline>
              <xm:f>'Ratio Analysis'!C24:L24</xm:f>
              <xm:sqref>N24</xm:sqref>
            </x14:sparkline>
            <x14:sparkline>
              <xm:f>'Ratio Analysis'!C25:L25</xm:f>
              <xm:sqref>N25</xm:sqref>
            </x14:sparkline>
            <x14:sparkline>
              <xm:f>'Ratio Analysis'!C26:L26</xm:f>
              <xm:sqref>N26</xm:sqref>
            </x14:sparkline>
            <x14:sparkline>
              <xm:f>'Ratio Analysis'!C27:L27</xm:f>
              <xm:sqref>N27</xm:sqref>
            </x14:sparkline>
            <x14:sparkline>
              <xm:f>'Ratio Analysis'!C28:L28</xm:f>
              <xm:sqref>N28</xm:sqref>
            </x14:sparkline>
            <x14:sparkline>
              <xm:f>'Ratio Analysis'!C29:L29</xm:f>
              <xm:sqref>N29</xm:sqref>
            </x14:sparkline>
            <x14:sparkline>
              <xm:f>'Ratio Analysis'!C30:L30</xm:f>
              <xm:sqref>N30</xm:sqref>
            </x14:sparkline>
            <x14:sparkline>
              <xm:f>'Ratio Analysis'!C31:L31</xm:f>
              <xm:sqref>N31</xm:sqref>
            </x14:sparkline>
            <x14:sparkline>
              <xm:f>'Ratio Analysis'!C32:L32</xm:f>
              <xm:sqref>N32</xm:sqref>
            </x14:sparkline>
            <x14:sparkline>
              <xm:f>'Ratio Analysis'!C33:L33</xm:f>
              <xm:sqref>N33</xm:sqref>
            </x14:sparkline>
            <x14:sparkline>
              <xm:f>'Ratio Analysis'!C34:L34</xm:f>
              <xm:sqref>N34</xm:sqref>
            </x14:sparkline>
            <x14:sparkline>
              <xm:f>'Ratio Analysis'!C35:L35</xm:f>
              <xm:sqref>N35</xm:sqref>
            </x14:sparkline>
            <x14:sparkline>
              <xm:f>'Ratio Analysis'!C36:L36</xm:f>
              <xm:sqref>N36</xm:sqref>
            </x14:sparkline>
            <x14:sparkline>
              <xm:f>'Ratio Analysis'!C37:L37</xm:f>
              <xm:sqref>N37</xm:sqref>
            </x14:sparkline>
            <x14:sparkline>
              <xm:f>'Ratio Analysis'!C38:L38</xm:f>
              <xm:sqref>N38</xm:sqref>
            </x14:sparkline>
            <x14:sparkline>
              <xm:f>'Ratio Analysis'!C39:L39</xm:f>
              <xm:sqref>N39</xm:sqref>
            </x14:sparkline>
            <x14:sparkline>
              <xm:f>'Ratio Analysis'!C40:L40</xm:f>
              <xm:sqref>N40</xm:sqref>
            </x14:sparkline>
            <x14:sparkline>
              <xm:f>'Ratio Analysis'!C41:L41</xm:f>
              <xm:sqref>N41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67EF3-EE57-4987-80E1-5117D9376BDC}">
  <sheetPr>
    <tabColor rgb="FF002060"/>
  </sheetPr>
  <dimension ref="B3:O21"/>
  <sheetViews>
    <sheetView showGridLines="0" tabSelected="1" workbookViewId="0">
      <selection activeCell="N19" sqref="N19"/>
    </sheetView>
  </sheetViews>
  <sheetFormatPr defaultRowHeight="14.5" x14ac:dyDescent="0.35"/>
  <cols>
    <col min="1" max="1" width="1.81640625" customWidth="1"/>
    <col min="2" max="2" width="11.36328125" bestFit="1" customWidth="1"/>
    <col min="3" max="3" width="9.54296875" bestFit="1" customWidth="1"/>
    <col min="4" max="4" width="12.54296875" customWidth="1"/>
    <col min="5" max="5" width="18.08984375" customWidth="1"/>
    <col min="9" max="9" width="14.54296875" customWidth="1"/>
    <col min="10" max="10" width="14.1796875" customWidth="1"/>
    <col min="12" max="12" width="12.90625" customWidth="1"/>
    <col min="13" max="13" width="12.1796875" customWidth="1"/>
    <col min="14" max="14" width="13.90625" customWidth="1"/>
    <col min="15" max="15" width="14.453125" customWidth="1"/>
  </cols>
  <sheetData>
    <row r="3" spans="2:15" x14ac:dyDescent="0.35">
      <c r="B3" s="49" t="str">
        <f>'Data Sheet'!B1&amp; " - "&amp; 'Data Sheet'!A17&amp;" Forecasting "</f>
      </c>
      <c r="C3" s="49"/>
      <c r="D3" s="49"/>
      <c r="E3" s="49"/>
      <c r="G3" s="49" t="str">
        <f>'Data Sheet'!B1&amp;" - "&amp; HistoricalFS!B18&amp;" Forecasting "</f>
      </c>
      <c r="H3" s="49"/>
      <c r="I3" s="49"/>
      <c r="J3" s="49"/>
      <c r="L3" s="49" t="str">
        <f>'Data Sheet'!B1&amp; " - "&amp;HistoricalFS!B38&amp; " Forecasting "</f>
      </c>
      <c r="M3" s="49"/>
      <c r="N3" s="49"/>
      <c r="O3" s="49"/>
    </row>
    <row r="4" spans="2:15" x14ac:dyDescent="0.35">
      <c r="B4" s="52" t="s">
        <v>162</v>
      </c>
      <c r="C4" s="12" t="s">
        <v>163</v>
      </c>
      <c r="D4" s="12" t="s">
        <v>1</v>
      </c>
      <c r="E4" s="12" t="s">
        <v>10</v>
      </c>
      <c r="G4" s="52" t="s">
        <v>162</v>
      </c>
      <c r="H4" s="12" t="s">
        <v>163</v>
      </c>
      <c r="I4" s="12" t="s">
        <v>67</v>
      </c>
      <c r="J4" s="12" t="s">
        <v>164</v>
      </c>
      <c r="L4" s="52" t="s">
        <v>162</v>
      </c>
      <c r="M4" s="12" t="s">
        <v>163</v>
      </c>
      <c r="N4" s="12" t="s">
        <v>31</v>
      </c>
      <c r="O4" s="12" t="s">
        <v>165</v>
      </c>
    </row>
    <row r="5" spans="2:15" x14ac:dyDescent="0.35">
      <c r="B5" s="8">
        <v>1</v>
      </c>
      <c r="C5" s="54">
        <f>'Data Sheet'!$B$16</f>
      </c>
      <c r="D5" s="55">
        <f t="array" ref="D5:D14">TRANSPOSE('Data Sheet'!B17:K17)</f>
      </c>
      <c r="E5" s="55"/>
      <c r="G5" s="8">
        <v>1</v>
      </c>
      <c r="H5" s="54">
        <f>'Data Sheet'!B16</f>
      </c>
      <c r="I5" s="55">
        <f t="array" ref="I5:I14">TRANSPOSE(HistoricalFS!C18:L18)</f>
      </c>
      <c r="J5" s="55"/>
      <c r="L5" s="8">
        <v>1</v>
      </c>
      <c r="M5" s="54">
        <f>'Data Sheet'!B16</f>
      </c>
      <c r="N5" s="55">
        <f t="array" ref="N5:N14">IFERROR(TRANSPOSE(HistoricalFS!C38:L38),0)</f>
      </c>
      <c r="O5" s="55"/>
    </row>
    <row r="6" spans="2:15" x14ac:dyDescent="0.35">
      <c r="B6" s="8">
        <f>B5+1</f>
      </c>
      <c r="C6" s="54">
        <f>C5+365</f>
      </c>
      <c r="D6" s="55">
        <v>1365.06</v>
      </c>
      <c r="E6" s="44">
        <f>IFERROR(D6/D5-1,0)</f>
      </c>
      <c r="G6" s="8">
        <f>G5+1</f>
      </c>
      <c r="H6" s="54">
        <f>H5+365</f>
      </c>
      <c r="I6" s="55">
        <v>367.49999999999994</v>
      </c>
      <c r="J6" s="44">
        <f>IFERROR(I6/I5-1,0)</f>
      </c>
      <c r="L6" s="8">
        <f>L5+1</f>
      </c>
      <c r="M6" s="54">
        <f>M5+365</f>
      </c>
      <c r="N6" s="55">
        <v>19.699137931034478</v>
      </c>
      <c r="O6" s="44">
        <f>IFERROR(N6/N5-1,0)</f>
      </c>
    </row>
    <row r="7" spans="2:15" x14ac:dyDescent="0.35">
      <c r="B7" s="8">
        <f t="shared" ref="B7:B19" si="0">B6+1</f>
      </c>
      <c r="C7" s="54">
        <f t="shared" ref="C7:C19" si="1">C6+365</f>
      </c>
      <c r="D7" s="55">
        <v>1430.59</v>
      </c>
      <c r="E7" s="44">
        <f t="shared" ref="E7:E19" si="2">IFERROR(D7/D6-1,0)</f>
      </c>
      <c r="G7" s="8">
        <f t="shared" ref="G7:G19" si="3">G6+1</f>
      </c>
      <c r="H7" s="54">
        <f t="shared" ref="H7:H19" si="4">H6+365</f>
      </c>
      <c r="I7" s="55">
        <v>308.84999999999991</v>
      </c>
      <c r="J7" s="44">
        <f t="shared" ref="J7:J19" si="5">IFERROR(I7/I6-1,0)</f>
      </c>
      <c r="L7" s="8">
        <f t="shared" ref="L7:L19" si="6">L6+1</f>
      </c>
      <c r="M7" s="54">
        <f t="shared" ref="M7:M19" si="7">M6+365</f>
      </c>
      <c r="N7" s="55">
        <v>15.479758828596031</v>
      </c>
      <c r="O7" s="44">
        <f t="shared" ref="O7:O19" si="8">IFERROR(N7/N6-1,0)</f>
      </c>
    </row>
    <row r="8" spans="2:15" x14ac:dyDescent="0.35">
      <c r="B8" s="8">
        <f t="shared" si="0"/>
      </c>
      <c r="C8" s="54">
        <f t="shared" si="1"/>
      </c>
      <c r="D8" s="55">
        <v>1437.57</v>
      </c>
      <c r="E8" s="44">
        <f t="shared" si="2"/>
      </c>
      <c r="G8" s="8">
        <f t="shared" si="3"/>
      </c>
      <c r="H8" s="54">
        <f t="shared" si="4"/>
      </c>
      <c r="I8" s="55">
        <v>326.14999999999998</v>
      </c>
      <c r="J8" s="44">
        <f t="shared" si="5"/>
      </c>
      <c r="L8" s="8">
        <f t="shared" si="6"/>
      </c>
      <c r="M8" s="54">
        <f t="shared" si="7"/>
      </c>
      <c r="N8" s="55">
        <v>14.733333333333331</v>
      </c>
      <c r="O8" s="44">
        <f t="shared" si="8"/>
      </c>
    </row>
    <row r="9" spans="2:15" x14ac:dyDescent="0.35">
      <c r="B9" s="8">
        <f t="shared" si="0"/>
      </c>
      <c r="C9" s="54">
        <f t="shared" si="1"/>
      </c>
      <c r="D9" s="55">
        <v>1564.49</v>
      </c>
      <c r="E9" s="44">
        <f t="shared" si="2"/>
      </c>
      <c r="G9" s="8">
        <f t="shared" si="3"/>
      </c>
      <c r="H9" s="54">
        <f t="shared" si="4"/>
      </c>
      <c r="I9" s="55">
        <v>449.53000000000003</v>
      </c>
      <c r="J9" s="44">
        <f t="shared" si="5"/>
      </c>
      <c r="L9" s="8">
        <f t="shared" si="6"/>
      </c>
      <c r="M9" s="54">
        <f t="shared" si="7"/>
      </c>
      <c r="N9" s="55">
        <v>23.755491881566382</v>
      </c>
      <c r="O9" s="44">
        <f t="shared" si="8"/>
      </c>
    </row>
    <row r="10" spans="2:15" x14ac:dyDescent="0.35">
      <c r="B10" s="8">
        <f t="shared" si="0"/>
      </c>
      <c r="C10" s="54">
        <f t="shared" si="1"/>
      </c>
      <c r="D10" s="55">
        <v>2160.35</v>
      </c>
      <c r="E10" s="44">
        <f t="shared" si="2"/>
      </c>
      <c r="G10" s="8">
        <f t="shared" si="3"/>
      </c>
      <c r="H10" s="54">
        <f t="shared" si="4"/>
      </c>
      <c r="I10" s="55">
        <v>662.05</v>
      </c>
      <c r="J10" s="44">
        <f t="shared" si="5"/>
      </c>
      <c r="L10" s="8">
        <f t="shared" si="6"/>
      </c>
      <c r="M10" s="54">
        <f t="shared" si="7"/>
      </c>
      <c r="N10" s="55">
        <v>38.717519685039356</v>
      </c>
      <c r="O10" s="44">
        <f t="shared" si="8"/>
      </c>
    </row>
    <row r="11" spans="2:15" x14ac:dyDescent="0.35">
      <c r="B11" s="8">
        <f t="shared" si="0"/>
      </c>
      <c r="C11" s="54">
        <f t="shared" si="1"/>
      </c>
      <c r="D11" s="55">
        <v>2647.9</v>
      </c>
      <c r="E11" s="44">
        <f t="shared" si="2"/>
      </c>
      <c r="G11" s="8">
        <f t="shared" si="3"/>
      </c>
      <c r="H11" s="54">
        <f t="shared" si="4"/>
      </c>
      <c r="I11" s="55">
        <v>723.28</v>
      </c>
      <c r="J11" s="44">
        <f t="shared" si="5"/>
      </c>
      <c r="L11" s="8">
        <f t="shared" si="6"/>
      </c>
      <c r="M11" s="54">
        <f t="shared" si="7"/>
      </c>
      <c r="N11" s="55">
        <v>43.147808358817521</v>
      </c>
      <c r="O11" s="44">
        <f t="shared" si="8"/>
      </c>
    </row>
    <row r="12" spans="2:15" x14ac:dyDescent="0.35">
      <c r="B12" s="8">
        <f t="shared" si="0"/>
      </c>
      <c r="C12" s="54">
        <f t="shared" si="1"/>
      </c>
      <c r="D12" s="55">
        <v>2925.54</v>
      </c>
      <c r="E12" s="44">
        <f t="shared" si="2"/>
      </c>
      <c r="G12" s="8">
        <f t="shared" si="3"/>
      </c>
      <c r="H12" s="54">
        <f t="shared" si="4"/>
      </c>
      <c r="I12" s="55">
        <v>775.7600000000001</v>
      </c>
      <c r="J12" s="44">
        <f t="shared" si="5"/>
      </c>
      <c r="L12" s="8">
        <f t="shared" si="6"/>
      </c>
      <c r="M12" s="54">
        <f t="shared" si="7"/>
      </c>
      <c r="N12" s="55">
        <v>45.660550458715598</v>
      </c>
      <c r="O12" s="44">
        <f t="shared" si="8"/>
      </c>
    </row>
    <row r="13" spans="2:15" x14ac:dyDescent="0.35">
      <c r="B13" s="8">
        <f t="shared" si="0"/>
      </c>
      <c r="C13" s="54">
        <f t="shared" si="1"/>
      </c>
      <c r="D13" s="55">
        <v>3365.87</v>
      </c>
      <c r="E13" s="44">
        <f t="shared" si="2"/>
      </c>
      <c r="G13" s="8">
        <f t="shared" si="3"/>
      </c>
      <c r="H13" s="54">
        <f t="shared" si="4"/>
      </c>
      <c r="I13" s="55">
        <v>809.31</v>
      </c>
      <c r="J13" s="44">
        <f t="shared" si="5"/>
      </c>
      <c r="L13" s="8">
        <f t="shared" si="6"/>
      </c>
      <c r="M13" s="54">
        <f t="shared" si="7"/>
      </c>
      <c r="N13" s="55">
        <v>47.715634837355722</v>
      </c>
      <c r="O13" s="44">
        <f t="shared" si="8"/>
      </c>
    </row>
    <row r="14" spans="2:15" x14ac:dyDescent="0.35">
      <c r="B14" s="8">
        <f t="shared" si="0"/>
      </c>
      <c r="C14" s="54">
        <f t="shared" si="1"/>
      </c>
      <c r="D14" s="55">
        <v>4117.03</v>
      </c>
      <c r="E14" s="44">
        <f t="shared" si="2"/>
      </c>
      <c r="G14" s="8">
        <f t="shared" si="3"/>
      </c>
      <c r="H14" s="54">
        <f t="shared" si="4"/>
      </c>
      <c r="I14" s="55">
        <v>1051.4499999999996</v>
      </c>
      <c r="J14" s="44">
        <f t="shared" si="5"/>
      </c>
      <c r="L14" s="8">
        <f t="shared" si="6"/>
      </c>
      <c r="M14" s="54">
        <f t="shared" si="7"/>
      </c>
      <c r="N14" s="55">
        <v>64.324123273113671</v>
      </c>
      <c r="O14" s="44">
        <f t="shared" si="8"/>
      </c>
    </row>
    <row r="15" spans="2:15" x14ac:dyDescent="0.35">
      <c r="B15" s="56">
        <f t="shared" si="0"/>
      </c>
      <c r="C15" s="57">
        <f t="shared" si="1"/>
      </c>
      <c r="D15" s="58">
        <f>IFERROR(FORECAST(B15,$D$5:$D$14,$B$5:$B$14),0)</f>
      </c>
      <c r="E15" s="59">
        <f t="shared" si="2"/>
      </c>
      <c r="G15" s="56">
        <f t="shared" si="3"/>
      </c>
      <c r="H15" s="57">
        <f t="shared" si="4"/>
      </c>
      <c r="I15" s="58">
        <f>IFERROR(FORECAST(G15,$I$5:$I$14,$G$5:$G$14),0)</f>
      </c>
      <c r="J15" s="59">
        <f t="shared" si="5"/>
      </c>
      <c r="L15" s="56">
        <f t="shared" si="6"/>
      </c>
      <c r="M15" s="57">
        <f t="shared" si="7"/>
      </c>
      <c r="N15" s="58">
        <f>IFERROR(FORECAST(L15,$N$5:$N$14,$L$5:$L$14),0)</f>
      </c>
      <c r="O15" s="59">
        <f t="shared" si="8"/>
      </c>
    </row>
    <row r="16" spans="2:15" x14ac:dyDescent="0.35">
      <c r="B16" s="56">
        <f t="shared" si="0"/>
      </c>
      <c r="C16" s="57">
        <f t="shared" si="1"/>
      </c>
      <c r="D16" s="58">
        <f t="shared" ref="D16:D19" si="9">IFERROR(FORECAST(B16,$D$5:$D$14,$B$5:$B$14),0)</f>
      </c>
      <c r="E16" s="59">
        <f t="shared" si="2"/>
      </c>
      <c r="G16" s="56">
        <f t="shared" si="3"/>
      </c>
      <c r="H16" s="57">
        <f>H15+365</f>
      </c>
      <c r="I16" s="58">
        <f t="shared" ref="I16:I19" si="10">IFERROR(FORECAST(G16,$I$5:$I$14,$G$5:$G$14),0)</f>
      </c>
      <c r="J16" s="59">
        <f t="shared" si="5"/>
      </c>
      <c r="L16" s="56">
        <f t="shared" si="6"/>
      </c>
      <c r="M16" s="57">
        <f>M15+365</f>
      </c>
      <c r="N16" s="58">
        <f>IFERROR(FORECAST(L16,$N$5:$N$14,$L$5:$L$14),0)</f>
      </c>
      <c r="O16" s="59">
        <f t="shared" si="8"/>
      </c>
    </row>
    <row r="17" spans="2:15" x14ac:dyDescent="0.35">
      <c r="B17" s="56">
        <f t="shared" si="0"/>
      </c>
      <c r="C17" s="57">
        <f t="shared" si="1"/>
      </c>
      <c r="D17" s="58">
        <f t="shared" si="9"/>
      </c>
      <c r="E17" s="59">
        <f t="shared" si="2"/>
      </c>
      <c r="G17" s="56">
        <f t="shared" si="3"/>
      </c>
      <c r="H17" s="57">
        <f t="shared" si="4"/>
      </c>
      <c r="I17" s="58">
        <f t="shared" si="10"/>
      </c>
      <c r="J17" s="59">
        <f t="shared" si="5"/>
      </c>
      <c r="L17" s="56">
        <f t="shared" si="6"/>
      </c>
      <c r="M17" s="57">
        <f t="shared" ref="M17:M19" si="11">M16+365</f>
      </c>
      <c r="N17" s="58">
        <f t="shared" ref="N16:N19" si="12">IFERROR(FORECAST(L17,$N$5:$N$14,$L$5:$L$14),0)</f>
      </c>
      <c r="O17" s="59">
        <f t="shared" si="8"/>
      </c>
    </row>
    <row r="18" spans="2:15" x14ac:dyDescent="0.35">
      <c r="B18" s="56">
        <f t="shared" si="0"/>
      </c>
      <c r="C18" s="57">
        <f t="shared" si="1"/>
      </c>
      <c r="D18" s="58">
        <f t="shared" si="9"/>
      </c>
      <c r="E18" s="59">
        <f t="shared" si="2"/>
      </c>
      <c r="G18" s="56">
        <f t="shared" si="3"/>
      </c>
      <c r="H18" s="57">
        <f t="shared" si="4"/>
      </c>
      <c r="I18" s="58">
        <f t="shared" si="10"/>
      </c>
      <c r="J18" s="59">
        <f t="shared" si="5"/>
      </c>
      <c r="L18" s="56">
        <f t="shared" si="6"/>
      </c>
      <c r="M18" s="57">
        <f t="shared" si="11"/>
      </c>
      <c r="N18" s="58">
        <f t="shared" si="12"/>
      </c>
      <c r="O18" s="59">
        <f t="shared" si="8"/>
      </c>
    </row>
    <row r="19" spans="2:15" x14ac:dyDescent="0.35">
      <c r="B19" s="56">
        <f t="shared" si="0"/>
      </c>
      <c r="C19" s="57">
        <f t="shared" si="1"/>
      </c>
      <c r="D19" s="58">
        <f t="shared" si="9"/>
      </c>
      <c r="E19" s="59">
        <f t="shared" si="2"/>
      </c>
      <c r="G19" s="56">
        <f t="shared" si="3"/>
      </c>
      <c r="H19" s="57">
        <f t="shared" si="4"/>
      </c>
      <c r="I19" s="58">
        <f t="shared" si="10"/>
      </c>
      <c r="J19" s="59">
        <f t="shared" si="5"/>
      </c>
      <c r="L19" s="56">
        <f t="shared" si="6"/>
      </c>
      <c r="M19" s="57">
        <f t="shared" si="11"/>
      </c>
      <c r="N19" s="58">
        <f t="shared" si="12"/>
      </c>
      <c r="O19" s="59">
        <f t="shared" si="8"/>
      </c>
    </row>
    <row r="20" spans="2:15" x14ac:dyDescent="0.35">
      <c r="B20" s="8"/>
      <c r="C20" s="53"/>
    </row>
    <row r="21" spans="2:15" x14ac:dyDescent="0.35">
      <c r="B21" s="8"/>
      <c r="C21" s="53"/>
    </row>
  </sheetData>
  <mergeCells count="3">
    <mergeCell ref="B3:E3"/>
    <mergeCell ref="G3:J3"/>
    <mergeCell ref="L3:O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38AEE-D5C1-4DBA-A226-F0E6487CFD60}">
  <sheetPr>
    <tabColor rgb="FF002060"/>
  </sheetPr>
  <dimension ref="A1"/>
  <sheetViews>
    <sheetView workbookViewId="0">
      <selection activeCell="I21" sqref="I21"/>
    </sheetView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:K93"/>
  <sheetViews>
    <sheetView zoomScale="120" zoomScaleNormal="120" zoomScalePageLayoutView="120" workbookViewId="0">
      <pane xSplit="1" ySplit="1" topLeftCell="B3" activePane="bottomRight" state="frozen"/>
      <selection activeCell="C4" sqref="C4"/>
      <selection pane="topRight" activeCell="C4" sqref="C4"/>
      <selection pane="bottomLeft" activeCell="C4" sqref="C4"/>
      <selection pane="bottomRight" activeCell="B66" sqref="B66"/>
    </sheetView>
  </sheetViews>
  <sheetFormatPr defaultColWidth="8.81640625" defaultRowHeight="14.5" x14ac:dyDescent="0.35"/>
  <cols>
    <col min="1" max="1" width="27.6328125" style="3" bestFit="1" customWidth="1"/>
    <col min="2" max="11" width="13.453125" style="3" bestFit="1" customWidth="1"/>
    <col min="12" max="16384" width="8.81640625" style="3"/>
  </cols>
  <sheetData>
    <row r="1" spans="1:11" s="1" customFormat="1" x14ac:dyDescent="0.35">
      <c r="A1" s="1" t="s">
        <v>0</v>
      </c>
      <c r="B1" s="1" t="s">
        <v>34</v>
      </c>
      <c r="E1" s="50" t="str">
        <f>IF(B2&lt;&gt;B3, "A NEW VERSION OF THE WORKSHEET IS AVAILABLE", "")</f>
      </c>
      <c r="F1" s="50"/>
      <c r="G1" s="50"/>
      <c r="H1" s="50"/>
      <c r="I1" s="50"/>
      <c r="J1" s="50"/>
      <c r="K1" s="50"/>
    </row>
    <row r="2" spans="1:11" x14ac:dyDescent="0.35">
      <c r="A2" s="1" t="s">
        <v>32</v>
      </c>
      <c r="B2" s="3">
        <v>2.1</v>
      </c>
      <c r="E2" s="51" t="s">
        <v>22</v>
      </c>
      <c r="F2" s="51"/>
      <c r="G2" s="51"/>
      <c r="H2" s="51"/>
      <c r="I2" s="51"/>
      <c r="J2" s="51"/>
      <c r="K2" s="51"/>
    </row>
    <row r="3" spans="1:11" x14ac:dyDescent="0.35">
      <c r="A3" s="1" t="s">
        <v>33</v>
      </c>
      <c r="B3" s="3">
        <v>2.1</v>
      </c>
    </row>
    <row r="4" spans="1:11" x14ac:dyDescent="0.35">
      <c r="A4" s="1"/>
    </row>
    <row r="5" spans="1:11" x14ac:dyDescent="0.35">
      <c r="A5" s="1" t="s">
        <v>35</v>
      </c>
    </row>
    <row r="6" spans="1:11" x14ac:dyDescent="0.35">
      <c r="A6" s="3" t="s">
        <v>28</v>
      </c>
      <c r="B6" s="3">
        <f>IF(B9&gt;0, B9/B8, 0)</f>
      </c>
    </row>
    <row r="7" spans="1:11" x14ac:dyDescent="0.35">
      <c r="A7" s="3" t="s">
        <v>17</v>
      </c>
      <c r="B7">
        <v>1.00</v>
      </c>
    </row>
    <row r="8" spans="1:11" x14ac:dyDescent="0.35">
      <c r="A8" s="3" t="s">
        <v>29</v>
      </c>
      <c r="B8">
        <v>2174.60</v>
      </c>
    </row>
    <row r="9" spans="1:11" x14ac:dyDescent="0.35">
      <c r="A9" s="3" t="s">
        <v>45</v>
      </c>
      <c r="B9">
        <v>511001.68</v>
      </c>
    </row>
    <row r="15" spans="1:11" x14ac:dyDescent="0.35">
      <c r="A15" s="1" t="s">
        <v>23</v>
      </c>
    </row>
    <row r="16" spans="1:11" s="7" customFormat="1" x14ac:dyDescent="0.35">
      <c r="A16" s="6" t="s">
        <v>24</v>
      </c>
      <c r="B16" s="5">
        <v>42825.0</v>
      </c>
      <c r="C16" s="5">
        <v>43190.0</v>
      </c>
      <c r="D16" s="5">
        <v>43555.0</v>
      </c>
      <c r="E16" s="5">
        <v>43921.0</v>
      </c>
      <c r="F16" s="5">
        <v>44286.0</v>
      </c>
      <c r="G16" s="5">
        <v>44651.0</v>
      </c>
      <c r="H16" s="5">
        <v>45016.0</v>
      </c>
      <c r="I16" s="5">
        <v>45382.0</v>
      </c>
      <c r="J16" s="5">
        <v>45747.0</v>
      </c>
      <c r="K16" s="5">
        <v>46112.0</v>
      </c>
    </row>
    <row r="17" spans="1:11" s="4" customFormat="1" x14ac:dyDescent="0.35">
      <c r="A17" s="4" t="s">
        <v>1</v>
      </c>
      <c r="B17">
        <v>33162.0</v>
      </c>
      <c r="C17">
        <v>35545.0</v>
      </c>
      <c r="D17">
        <v>39310.0</v>
      </c>
      <c r="E17">
        <v>39783.0</v>
      </c>
      <c r="F17">
        <v>47028.0</v>
      </c>
      <c r="G17">
        <v>52446.0</v>
      </c>
      <c r="H17">
        <v>60580.0</v>
      </c>
      <c r="I17">
        <v>61896.0</v>
      </c>
      <c r="J17">
        <v>61328.0</v>
      </c>
      <c r="K17">
        <v>64468.0</v>
      </c>
    </row>
    <row r="18" spans="1:11" s="4" customFormat="1" x14ac:dyDescent="0.35">
      <c r="A18" s="3" t="s">
        <v>46</v>
      </c>
      <c r="B18">
        <v>13606.0</v>
      </c>
      <c r="C18">
        <v>14233.0</v>
      </c>
      <c r="D18">
        <v>15845.0</v>
      </c>
      <c r="E18">
        <v>15697.0</v>
      </c>
      <c r="F18">
        <v>20141.0</v>
      </c>
      <c r="G18">
        <v>22871.0</v>
      </c>
      <c r="H18">
        <v>28427.0</v>
      </c>
      <c r="I18">
        <v>26822.0</v>
      </c>
      <c r="J18">
        <v>26602.0</v>
      </c>
      <c r="K18">
        <v>29158.0</v>
      </c>
    </row>
    <row r="19" spans="1:11" s="4" customFormat="1" x14ac:dyDescent="0.35">
      <c r="A19" s="3" t="s">
        <v>47</v>
      </c>
      <c r="B19">
        <v>-144.0</v>
      </c>
      <c r="C19">
        <v>72.0</v>
      </c>
      <c r="D19">
        <v>-12.0</v>
      </c>
      <c r="E19">
        <v>108.0</v>
      </c>
      <c r="F19">
        <v>405.0</v>
      </c>
      <c r="G19">
        <v>22.0</v>
      </c>
      <c r="H19">
        <v>75.0</v>
      </c>
      <c r="I19">
        <v>11.0</v>
      </c>
      <c r="J19">
        <v>125.0</v>
      </c>
      <c r="K19">
        <v>429.0</v>
      </c>
    </row>
    <row r="20" spans="1:11" s="4" customFormat="1" x14ac:dyDescent="0.35">
      <c r="A20" s="3" t="s">
        <v>48</v>
      </c>
      <c r="B20">
        <v>295.0</v>
      </c>
      <c r="C20">
        <v>295.0</v>
      </c>
      <c r="D20">
        <v>308.0</v>
      </c>
      <c r="E20">
        <v>299.0</v>
      </c>
      <c r="F20">
        <v>339.0</v>
      </c>
      <c r="G20">
        <v>318.0</v>
      </c>
      <c r="H20">
        <v>384.0</v>
      </c>
      <c r="I20">
        <v>446.0</v>
      </c>
      <c r="J20">
        <v>403.0</v>
      </c>
      <c r="K20">
        <v>426.0</v>
      </c>
    </row>
    <row r="21" spans="1:11" s="4" customFormat="1" x14ac:dyDescent="0.35">
      <c r="A21" s="3" t="s">
        <v>49</v>
      </c>
      <c r="B21">
        <v>2887.0</v>
      </c>
      <c r="C21">
        <v>2998.0</v>
      </c>
      <c r="D21">
        <v>3041.0</v>
      </c>
      <c r="E21">
        <v>2906.0</v>
      </c>
      <c r="F21">
        <v>2868.0</v>
      </c>
      <c r="G21">
        <v>3354.0</v>
      </c>
      <c r="H21">
        <v>3791.0</v>
      </c>
      <c r="I21">
        <v>3385.0</v>
      </c>
      <c r="J21">
        <v>3687.0</v>
      </c>
      <c r="K21">
        <v>3304.0</v>
      </c>
    </row>
    <row r="22" spans="1:11" s="4" customFormat="1" x14ac:dyDescent="0.35">
      <c r="A22" s="3" t="s">
        <v>50</v>
      </c>
      <c r="B22">
        <v>1743.0</v>
      </c>
      <c r="C22">
        <v>1860.0</v>
      </c>
      <c r="D22">
        <v>1875.0</v>
      </c>
      <c r="E22">
        <v>1820.0</v>
      </c>
      <c r="F22">
        <v>2358.0</v>
      </c>
      <c r="G22">
        <v>2545.0</v>
      </c>
      <c r="H22">
        <v>2854.0</v>
      </c>
      <c r="I22">
        <v>3009.0</v>
      </c>
      <c r="J22">
        <v>2952.0</v>
      </c>
      <c r="K22">
        <v>3175.0</v>
      </c>
    </row>
    <row r="23" spans="1:11" s="4" customFormat="1" x14ac:dyDescent="0.35">
      <c r="A23" s="3" t="s">
        <v>51</v>
      </c>
      <c r="B23">
        <v>6689.0</v>
      </c>
      <c r="C23">
        <v>7252.0</v>
      </c>
      <c r="D23">
        <v>7796.0</v>
      </c>
      <c r="E23">
        <v>7620.0</v>
      </c>
      <c r="F23">
        <v>7906.0</v>
      </c>
      <c r="G23">
        <v>8164.0</v>
      </c>
      <c r="H23">
        <v>8785.0</v>
      </c>
      <c r="I23">
        <v>10780.0</v>
      </c>
      <c r="J23">
        <v>10145.0</v>
      </c>
      <c r="K23">
        <v>10744.0</v>
      </c>
    </row>
    <row r="24" spans="1:11" s="4" customFormat="1" x14ac:dyDescent="0.35">
      <c r="A24" s="3" t="s">
        <v>52</v>
      </c>
      <c r="B24">
        <v>1470.0</v>
      </c>
      <c r="C24">
        <v>1480.0</v>
      </c>
      <c r="D24">
        <v>1553.0</v>
      </c>
      <c r="E24">
        <v>1688.0</v>
      </c>
      <c r="F24">
        <v>2195.0</v>
      </c>
      <c r="G24">
        <v>2359.0</v>
      </c>
      <c r="H24">
        <v>2267.0</v>
      </c>
      <c r="I24">
        <v>2806.0</v>
      </c>
      <c r="J24">
        <v>2966.0</v>
      </c>
      <c r="K24">
        <v>3051.0</v>
      </c>
    </row>
    <row r="25" spans="1:11" s="4" customFormat="1" x14ac:dyDescent="0.35">
      <c r="A25" s="4" t="s">
        <v>4</v>
      </c>
      <c r="B25">
        <v>606.0</v>
      </c>
      <c r="C25">
        <v>353.0</v>
      </c>
      <c r="D25">
        <v>322.0</v>
      </c>
      <c r="E25">
        <v>424.0</v>
      </c>
      <c r="F25">
        <v>170.0</v>
      </c>
      <c r="G25">
        <v>219.0</v>
      </c>
      <c r="H25">
        <v>448.0</v>
      </c>
      <c r="I25">
        <v>817.0</v>
      </c>
      <c r="J25">
        <v>1355.0</v>
      </c>
      <c r="K25">
        <v>4923.0</v>
      </c>
    </row>
    <row r="26" spans="1:11" s="4" customFormat="1" x14ac:dyDescent="0.35">
      <c r="A26" s="4" t="s">
        <v>5</v>
      </c>
      <c r="B26">
        <v>432.0</v>
      </c>
      <c r="C26">
        <v>520.0</v>
      </c>
      <c r="D26">
        <v>565.0</v>
      </c>
      <c r="E26">
        <v>1002.0</v>
      </c>
      <c r="F26">
        <v>1074.0</v>
      </c>
      <c r="G26">
        <v>1091.0</v>
      </c>
      <c r="H26">
        <v>1137.0</v>
      </c>
      <c r="I26">
        <v>1216.0</v>
      </c>
      <c r="J26">
        <v>1253.0</v>
      </c>
      <c r="K26">
        <v>1333.0</v>
      </c>
    </row>
    <row r="27" spans="1:11" s="4" customFormat="1" x14ac:dyDescent="0.35">
      <c r="A27" s="4" t="s">
        <v>6</v>
      </c>
      <c r="B27">
        <v>35.0</v>
      </c>
      <c r="C27">
        <v>26.0</v>
      </c>
      <c r="D27">
        <v>33.0</v>
      </c>
      <c r="E27">
        <v>118.0</v>
      </c>
      <c r="F27">
        <v>117.0</v>
      </c>
      <c r="G27">
        <v>106.0</v>
      </c>
      <c r="H27">
        <v>114.0</v>
      </c>
      <c r="I27">
        <v>334.0</v>
      </c>
      <c r="J27">
        <v>381.0</v>
      </c>
      <c r="K27">
        <v>410.0</v>
      </c>
    </row>
    <row r="28" spans="1:11" s="4" customFormat="1" x14ac:dyDescent="0.35">
      <c r="A28" s="4" t="s">
        <v>7</v>
      </c>
      <c r="B28">
        <v>6467.0</v>
      </c>
      <c r="C28">
        <v>7306.0</v>
      </c>
      <c r="D28">
        <v>8604.0</v>
      </c>
      <c r="E28">
        <v>9165.0</v>
      </c>
      <c r="F28">
        <v>10605.0</v>
      </c>
      <c r="G28">
        <v>11879.0</v>
      </c>
      <c r="H28">
        <v>13344.0</v>
      </c>
      <c r="I28">
        <v>13926.0</v>
      </c>
      <c r="J28">
        <v>14419.0</v>
      </c>
      <c r="K28">
        <v>18219.0</v>
      </c>
    </row>
    <row r="29" spans="1:11" s="4" customFormat="1" x14ac:dyDescent="0.35">
      <c r="A29" s="4" t="s">
        <v>8</v>
      </c>
      <c r="B29">
        <v>1977.0</v>
      </c>
      <c r="C29">
        <v>2079.0</v>
      </c>
      <c r="D29">
        <v>2544.0</v>
      </c>
      <c r="E29">
        <v>2409.0</v>
      </c>
      <c r="F29">
        <v>2606.0</v>
      </c>
      <c r="G29">
        <v>2987.0</v>
      </c>
      <c r="H29">
        <v>3201.0</v>
      </c>
      <c r="I29">
        <v>3644.0</v>
      </c>
      <c r="J29">
        <v>3748.0</v>
      </c>
      <c r="K29">
        <v>3160.0</v>
      </c>
    </row>
    <row r="30" spans="1:11" s="4" customFormat="1" x14ac:dyDescent="0.35">
      <c r="A30" s="4" t="s">
        <v>9</v>
      </c>
      <c r="B30">
        <v>4476.0</v>
      </c>
      <c r="C30">
        <v>5214.0</v>
      </c>
      <c r="D30">
        <v>6054.0</v>
      </c>
      <c r="E30">
        <v>6748.0</v>
      </c>
      <c r="F30">
        <v>7995.0</v>
      </c>
      <c r="G30">
        <v>8879.0</v>
      </c>
      <c r="H30">
        <v>10120.0</v>
      </c>
      <c r="I30">
        <v>10277.0</v>
      </c>
      <c r="J30">
        <v>10649.0</v>
      </c>
      <c r="K30">
        <v>15040.0</v>
      </c>
    </row>
    <row r="31" spans="1:11" s="4" customFormat="1" x14ac:dyDescent="0.35">
      <c r="A31" s="4" t="s">
        <v>36</v>
      </c>
      <c r="B31">
        <v>3672.0</v>
      </c>
      <c r="C31">
        <v>4320.0</v>
      </c>
      <c r="D31">
        <v>4752.0</v>
      </c>
      <c r="E31">
        <v>5400.0</v>
      </c>
      <c r="F31">
        <v>9517.5</v>
      </c>
      <c r="G31">
        <v>7990.0</v>
      </c>
      <c r="H31">
        <v>9165.0</v>
      </c>
      <c r="I31">
        <v>9870.0</v>
      </c>
      <c r="J31">
        <v>12455.0</v>
      </c>
      <c r="K31">
        <v>9635.0</v>
      </c>
    </row>
    <row r="32" spans="1:11" s="4" customFormat="1" x14ac:dyDescent="0.35"/>
    <row r="33" spans="1:11" x14ac:dyDescent="0.35">
      <c r="A33" s="4"/>
    </row>
    <row r="34" spans="1:11" x14ac:dyDescent="0.35">
      <c r="A34" s="4"/>
    </row>
    <row r="35" spans="1:11" x14ac:dyDescent="0.35">
      <c r="A35" s="4"/>
    </row>
    <row r="36" spans="1:11" x14ac:dyDescent="0.35">
      <c r="A36" s="4"/>
    </row>
    <row r="37" spans="1:11" x14ac:dyDescent="0.35">
      <c r="A37" s="4"/>
    </row>
    <row r="38" spans="1:11" x14ac:dyDescent="0.35">
      <c r="A38" s="4"/>
    </row>
    <row r="39" spans="1:11" x14ac:dyDescent="0.35">
      <c r="A39" s="4"/>
    </row>
    <row r="40" spans="1:11" x14ac:dyDescent="0.35">
      <c r="A40" s="1" t="s">
        <v>25</v>
      </c>
    </row>
    <row r="41" spans="1:11" s="7" customFormat="1" x14ac:dyDescent="0.35">
      <c r="A41" s="6" t="s">
        <v>24</v>
      </c>
      <c r="B41" s="5">
        <v>45291.0</v>
      </c>
      <c r="C41" s="5">
        <v>45382.0</v>
      </c>
      <c r="D41" s="5">
        <v>45473.0</v>
      </c>
      <c r="E41" s="5">
        <v>45565.0</v>
      </c>
      <c r="F41" s="5">
        <v>45657.0</v>
      </c>
      <c r="G41" s="5">
        <v>45747.0</v>
      </c>
      <c r="H41" s="5">
        <v>45838.0</v>
      </c>
      <c r="I41" s="5">
        <v>45930.0</v>
      </c>
      <c r="J41" s="5">
        <v>46022.0</v>
      </c>
      <c r="K41" s="5">
        <v>46112.0</v>
      </c>
    </row>
    <row r="42" spans="1:11" s="4" customFormat="1" x14ac:dyDescent="0.35">
      <c r="A42" s="4" t="s">
        <v>1</v>
      </c>
      <c r="B42">
        <v>15567.0</v>
      </c>
      <c r="C42">
        <v>15210.0</v>
      </c>
      <c r="D42">
        <v>15707.0</v>
      </c>
      <c r="E42">
        <v>15926.0</v>
      </c>
      <c r="F42">
        <v>15556.0</v>
      </c>
      <c r="G42">
        <v>15190.0</v>
      </c>
      <c r="H42">
        <v>16514.0</v>
      </c>
      <c r="I42">
        <v>15919.0</v>
      </c>
      <c r="J42">
        <v>16441.0</v>
      </c>
      <c r="K42">
        <v>16351.0</v>
      </c>
    </row>
    <row r="43" spans="1:11" s="4" customFormat="1" x14ac:dyDescent="0.35">
      <c r="A43" s="4" t="s">
        <v>2</v>
      </c>
      <c r="B43">
        <v>11902.0</v>
      </c>
      <c r="C43">
        <v>11675.0</v>
      </c>
      <c r="D43">
        <v>11965.0</v>
      </c>
      <c r="E43">
        <v>12139.0</v>
      </c>
      <c r="F43">
        <v>11867.0</v>
      </c>
      <c r="G43">
        <v>11572.0</v>
      </c>
      <c r="H43">
        <v>12797.0</v>
      </c>
      <c r="I43">
        <v>12137.0</v>
      </c>
      <c r="J43">
        <v>12660.0</v>
      </c>
      <c r="K43">
        <v>12514.0</v>
      </c>
    </row>
    <row r="44" spans="1:11" s="4" customFormat="1" x14ac:dyDescent="0.35">
      <c r="A44" s="4" t="s">
        <v>4</v>
      </c>
      <c r="B44">
        <v>184.0</v>
      </c>
      <c r="C44">
        <v>309.0</v>
      </c>
      <c r="D44">
        <v>209.0</v>
      </c>
      <c r="E44">
        <v>203.0</v>
      </c>
      <c r="F44">
        <v>733.0</v>
      </c>
      <c r="G44">
        <v>149.0</v>
      </c>
      <c r="H44">
        <v>74.0</v>
      </c>
      <c r="I44">
        <v>269.0</v>
      </c>
      <c r="J44">
        <v>4048.0</v>
      </c>
      <c r="K44">
        <v>503.0</v>
      </c>
    </row>
    <row r="45" spans="1:11" s="4" customFormat="1" x14ac:dyDescent="0.35">
      <c r="A45" s="4" t="s">
        <v>5</v>
      </c>
      <c r="B45">
        <v>313.0</v>
      </c>
      <c r="C45">
        <v>320.0</v>
      </c>
      <c r="D45">
        <v>329.0</v>
      </c>
      <c r="E45">
        <v>338.0</v>
      </c>
      <c r="F45">
        <v>318.0</v>
      </c>
      <c r="G45">
        <v>318.0</v>
      </c>
      <c r="H45">
        <v>361.0</v>
      </c>
      <c r="I45">
        <v>322.0</v>
      </c>
      <c r="J45">
        <v>337.0</v>
      </c>
      <c r="K45">
        <v>348.0</v>
      </c>
    </row>
    <row r="46" spans="1:11" s="4" customFormat="1" x14ac:dyDescent="0.35">
      <c r="A46" s="4" t="s">
        <v>6</v>
      </c>
      <c r="B46">
        <v>91.0</v>
      </c>
      <c r="C46">
        <v>105.0</v>
      </c>
      <c r="D46">
        <v>93.0</v>
      </c>
      <c r="E46">
        <v>110.0</v>
      </c>
      <c r="F46">
        <v>109.0</v>
      </c>
      <c r="G46">
        <v>77.0</v>
      </c>
      <c r="H46">
        <v>127.0</v>
      </c>
      <c r="I46">
        <v>124.0</v>
      </c>
      <c r="J46">
        <v>88.0</v>
      </c>
      <c r="K46">
        <v>76.0</v>
      </c>
    </row>
    <row r="47" spans="1:11" s="4" customFormat="1" x14ac:dyDescent="0.35">
      <c r="A47" s="4" t="s">
        <v>7</v>
      </c>
      <c r="B47">
        <v>3445.0</v>
      </c>
      <c r="C47">
        <v>3419.0</v>
      </c>
      <c r="D47">
        <v>3529.0</v>
      </c>
      <c r="E47">
        <v>3542.0</v>
      </c>
      <c r="F47">
        <v>3995.0</v>
      </c>
      <c r="G47">
        <v>3372.0</v>
      </c>
      <c r="H47">
        <v>3303.0</v>
      </c>
      <c r="I47">
        <v>3605.0</v>
      </c>
      <c r="J47">
        <v>7404.0</v>
      </c>
      <c r="K47">
        <v>3916.0</v>
      </c>
    </row>
    <row r="48" spans="1:11" s="4" customFormat="1" x14ac:dyDescent="0.35">
      <c r="A48" s="4" t="s">
        <v>8</v>
      </c>
      <c r="B48">
        <v>937.0</v>
      </c>
      <c r="C48">
        <v>858.0</v>
      </c>
      <c r="D48">
        <v>917.0</v>
      </c>
      <c r="E48">
        <v>947.0</v>
      </c>
      <c r="F48">
        <v>1006.0</v>
      </c>
      <c r="G48">
        <v>897.0</v>
      </c>
      <c r="H48">
        <v>535.0</v>
      </c>
      <c r="I48">
        <v>911.0</v>
      </c>
      <c r="J48">
        <v>801.0</v>
      </c>
      <c r="K48">
        <v>922.0</v>
      </c>
    </row>
    <row r="49" spans="1:11" s="4" customFormat="1" x14ac:dyDescent="0.35">
      <c r="A49" s="4" t="s">
        <v>9</v>
      </c>
      <c r="B49">
        <v>2509.0</v>
      </c>
      <c r="C49">
        <v>2558.0</v>
      </c>
      <c r="D49">
        <v>2610.0</v>
      </c>
      <c r="E49">
        <v>2591.0</v>
      </c>
      <c r="F49">
        <v>2984.0</v>
      </c>
      <c r="G49">
        <v>2464.0</v>
      </c>
      <c r="H49">
        <v>2756.0</v>
      </c>
      <c r="I49">
        <v>2685.0</v>
      </c>
      <c r="J49">
        <v>6607.0</v>
      </c>
      <c r="K49">
        <v>2992.0</v>
      </c>
    </row>
    <row r="50" spans="1:11" x14ac:dyDescent="0.35">
      <c r="A50" s="4" t="s">
        <v>3</v>
      </c>
      <c r="B50">
        <v>3665.0</v>
      </c>
      <c r="C50">
        <v>3535.0</v>
      </c>
      <c r="D50">
        <v>3742.0</v>
      </c>
      <c r="E50">
        <v>3787.0</v>
      </c>
      <c r="F50">
        <v>3689.0</v>
      </c>
      <c r="G50">
        <v>3618.0</v>
      </c>
      <c r="H50">
        <v>3717.0</v>
      </c>
      <c r="I50">
        <v>3782.0</v>
      </c>
      <c r="J50">
        <v>3781.0</v>
      </c>
      <c r="K50">
        <v>3837.0</v>
      </c>
    </row>
    <row r="51" spans="1:11" x14ac:dyDescent="0.35">
      <c r="A51" s="4"/>
    </row>
    <row r="52" spans="1:11" x14ac:dyDescent="0.35">
      <c r="A52" s="4"/>
    </row>
    <row r="53" spans="1:11" x14ac:dyDescent="0.35">
      <c r="A53" s="4"/>
    </row>
    <row r="54" spans="1:11" x14ac:dyDescent="0.35">
      <c r="A54" s="4"/>
    </row>
    <row r="55" spans="1:11" x14ac:dyDescent="0.35">
      <c r="A55" s="1" t="s">
        <v>26</v>
      </c>
    </row>
    <row r="56" spans="1:11" s="7" customFormat="1" x14ac:dyDescent="0.35">
      <c r="A56" s="6" t="s">
        <v>24</v>
      </c>
      <c r="B56" s="5">
        <v>42825.0</v>
      </c>
      <c r="C56" s="5">
        <v>43190.0</v>
      </c>
      <c r="D56" s="5">
        <v>43555.0</v>
      </c>
      <c r="E56" s="5">
        <v>43921.0</v>
      </c>
      <c r="F56" s="5">
        <v>44286.0</v>
      </c>
      <c r="G56" s="5">
        <v>44651.0</v>
      </c>
      <c r="H56" s="5">
        <v>45016.0</v>
      </c>
      <c r="I56" s="5">
        <v>45382.0</v>
      </c>
      <c r="J56" s="5">
        <v>45747.0</v>
      </c>
      <c r="K56" s="5">
        <v>46112.0</v>
      </c>
    </row>
    <row r="57" spans="1:11" x14ac:dyDescent="0.35">
      <c r="A57" s="4" t="s">
        <v>11</v>
      </c>
      <c r="B57">
        <v>216.0</v>
      </c>
      <c r="C57">
        <v>216.0</v>
      </c>
      <c r="D57">
        <v>216.0</v>
      </c>
      <c r="E57">
        <v>216.0</v>
      </c>
      <c r="F57">
        <v>235.0</v>
      </c>
      <c r="G57">
        <v>235.0</v>
      </c>
      <c r="H57">
        <v>235.0</v>
      </c>
      <c r="I57">
        <v>235.0</v>
      </c>
      <c r="J57">
        <v>235.0</v>
      </c>
      <c r="K57">
        <v>235.0</v>
      </c>
    </row>
    <row r="58" spans="1:11" x14ac:dyDescent="0.35">
      <c r="A58" s="4" t="s">
        <v>12</v>
      </c>
      <c r="B58">
        <v>6528.0</v>
      </c>
      <c r="C58">
        <v>7065.0</v>
      </c>
      <c r="D58">
        <v>7651.0</v>
      </c>
      <c r="E58">
        <v>8013.0</v>
      </c>
      <c r="F58">
        <v>47439.0</v>
      </c>
      <c r="G58">
        <v>48826.0</v>
      </c>
      <c r="H58">
        <v>50069.0</v>
      </c>
      <c r="I58">
        <v>50983.0</v>
      </c>
      <c r="J58">
        <v>49167.0</v>
      </c>
      <c r="K58">
        <v>48504.0</v>
      </c>
    </row>
    <row r="59" spans="1:11" x14ac:dyDescent="0.35">
      <c r="A59" s="4" t="s">
        <v>37</v>
      </c>
      <c r="B59">
        <v>277.0</v>
      </c>
      <c r="C59"/>
      <c r="D59">
        <v>99.0</v>
      </c>
      <c r="E59"/>
      <c r="F59"/>
      <c r="G59">
        <v>1043.0</v>
      </c>
      <c r="H59">
        <v>1219.0</v>
      </c>
      <c r="I59">
        <v>1484.0</v>
      </c>
      <c r="J59">
        <v>1648.0</v>
      </c>
      <c r="K59">
        <v>1478.0</v>
      </c>
    </row>
    <row r="60" spans="1:11" x14ac:dyDescent="0.35">
      <c r="A60" s="4" t="s">
        <v>38</v>
      </c>
      <c r="B60">
        <v>8685.0</v>
      </c>
      <c r="C60">
        <v>10581.0</v>
      </c>
      <c r="D60">
        <v>10663.0</v>
      </c>
      <c r="E60">
        <v>11924.0</v>
      </c>
      <c r="F60">
        <v>21066.0</v>
      </c>
      <c r="G60">
        <v>20402.0</v>
      </c>
      <c r="H60">
        <v>21554.0</v>
      </c>
      <c r="I60">
        <v>25787.0</v>
      </c>
      <c r="J60">
        <v>28813.0</v>
      </c>
      <c r="K60">
        <v>29521.0</v>
      </c>
    </row>
    <row r="61" spans="1:11" s="1" customFormat="1" x14ac:dyDescent="0.35">
      <c r="A61" s="1" t="s">
        <v>13</v>
      </c>
      <c r="B61">
        <v>15706.0</v>
      </c>
      <c r="C61">
        <v>17862.0</v>
      </c>
      <c r="D61">
        <v>18629.0</v>
      </c>
      <c r="E61">
        <v>20153.0</v>
      </c>
      <c r="F61">
        <v>68740.0</v>
      </c>
      <c r="G61">
        <v>70506.0</v>
      </c>
      <c r="H61">
        <v>73077.0</v>
      </c>
      <c r="I61">
        <v>78489.0</v>
      </c>
      <c r="J61">
        <v>79863.0</v>
      </c>
      <c r="K61">
        <v>79738.0</v>
      </c>
    </row>
    <row r="62" spans="1:11" x14ac:dyDescent="0.35">
      <c r="A62" s="4" t="s">
        <v>14</v>
      </c>
      <c r="B62">
        <v>4419.0</v>
      </c>
      <c r="C62">
        <v>4528.0</v>
      </c>
      <c r="D62">
        <v>4715.0</v>
      </c>
      <c r="E62">
        <v>5479.0</v>
      </c>
      <c r="F62">
        <v>51443.0</v>
      </c>
      <c r="G62">
        <v>51473.0</v>
      </c>
      <c r="H62">
        <v>52678.0</v>
      </c>
      <c r="I62">
        <v>53744.0</v>
      </c>
      <c r="J62">
        <v>54335.0</v>
      </c>
      <c r="K62">
        <v>57428.0</v>
      </c>
    </row>
    <row r="63" spans="1:11" x14ac:dyDescent="0.35">
      <c r="A63" s="4" t="s">
        <v>15</v>
      </c>
      <c r="B63">
        <v>229.0</v>
      </c>
      <c r="C63">
        <v>461.0</v>
      </c>
      <c r="D63">
        <v>406.0</v>
      </c>
      <c r="E63">
        <v>597.0</v>
      </c>
      <c r="F63">
        <v>745.0</v>
      </c>
      <c r="G63">
        <v>1313.0</v>
      </c>
      <c r="H63">
        <v>1132.0</v>
      </c>
      <c r="I63">
        <v>1025.0</v>
      </c>
      <c r="J63">
        <v>1009.0</v>
      </c>
      <c r="K63">
        <v>880.0</v>
      </c>
    </row>
    <row r="64" spans="1:11" x14ac:dyDescent="0.35">
      <c r="A64" s="4" t="s">
        <v>16</v>
      </c>
      <c r="B64">
        <v>3794.0</v>
      </c>
      <c r="C64">
        <v>2873.0</v>
      </c>
      <c r="D64">
        <v>2716.0</v>
      </c>
      <c r="E64">
        <v>1255.0</v>
      </c>
      <c r="F64">
        <v>2709.0</v>
      </c>
      <c r="G64">
        <v>3521.0</v>
      </c>
      <c r="H64">
        <v>2882.0</v>
      </c>
      <c r="I64">
        <v>4625.0</v>
      </c>
      <c r="J64">
        <v>3810.0</v>
      </c>
      <c r="K64">
        <v>4359.0</v>
      </c>
    </row>
    <row r="65" spans="1:11" x14ac:dyDescent="0.35">
      <c r="A65" s="4" t="s">
        <v>39</v>
      </c>
      <c r="B65">
        <v>7264.0</v>
      </c>
      <c r="C65">
        <v>10000.0</v>
      </c>
      <c r="D65">
        <v>10792.0</v>
      </c>
      <c r="E65">
        <v>12822.0</v>
      </c>
      <c r="F65">
        <v>13843.0</v>
      </c>
      <c r="G65">
        <v>14199.0</v>
      </c>
      <c r="H65">
        <v>16385.0</v>
      </c>
      <c r="I65">
        <v>19095.0</v>
      </c>
      <c r="J65">
        <v>20709.0</v>
      </c>
      <c r="K65">
        <v>17071.0</v>
      </c>
    </row>
    <row r="66" spans="1:11" s="1" customFormat="1" x14ac:dyDescent="0.35">
      <c r="A66" s="1" t="s">
        <v>13</v>
      </c>
      <c r="B66">
        <v>15706.0</v>
      </c>
      <c r="C66">
        <v>17862.0</v>
      </c>
      <c r="D66">
        <v>18629.0</v>
      </c>
      <c r="E66">
        <v>20153.0</v>
      </c>
      <c r="F66">
        <v>68740.0</v>
      </c>
      <c r="G66">
        <v>70506.0</v>
      </c>
      <c r="H66">
        <v>73077.0</v>
      </c>
      <c r="I66">
        <v>78489.0</v>
      </c>
      <c r="J66">
        <v>79863.0</v>
      </c>
      <c r="K66">
        <v>79738.0</v>
      </c>
    </row>
    <row r="67" spans="1:11" s="4" customFormat="1" x14ac:dyDescent="0.35">
      <c r="A67" s="4" t="s">
        <v>44</v>
      </c>
      <c r="B67">
        <v>1085.0</v>
      </c>
      <c r="C67">
        <v>1310.0</v>
      </c>
      <c r="D67">
        <v>1816.0</v>
      </c>
      <c r="E67">
        <v>1149.0</v>
      </c>
      <c r="F67">
        <v>1758.0</v>
      </c>
      <c r="G67">
        <v>2236.0</v>
      </c>
      <c r="H67">
        <v>3079.0</v>
      </c>
      <c r="I67">
        <v>2997.0</v>
      </c>
      <c r="J67">
        <v>3819.0</v>
      </c>
      <c r="K67">
        <v>3379.0</v>
      </c>
    </row>
    <row r="68" spans="1:11" x14ac:dyDescent="0.35">
      <c r="A68" s="4" t="s">
        <v>30</v>
      </c>
      <c r="B68">
        <v>2541.0</v>
      </c>
      <c r="C68">
        <v>2513.0</v>
      </c>
      <c r="D68">
        <v>2574.0</v>
      </c>
      <c r="E68">
        <v>2767.0</v>
      </c>
      <c r="F68">
        <v>3579.0</v>
      </c>
      <c r="G68">
        <v>4096.0</v>
      </c>
      <c r="H68">
        <v>4251.0</v>
      </c>
      <c r="I68">
        <v>4022.0</v>
      </c>
      <c r="J68">
        <v>4415.0</v>
      </c>
      <c r="K68">
        <v>4789.0</v>
      </c>
    </row>
    <row r="69" spans="1:11" x14ac:dyDescent="0.35">
      <c r="A69" s="3" t="s">
        <v>53</v>
      </c>
      <c r="B69">
        <v>1828.0</v>
      </c>
      <c r="C69">
        <v>3485.0</v>
      </c>
      <c r="D69">
        <v>3757.0</v>
      </c>
      <c r="E69">
        <v>5113.0</v>
      </c>
      <c r="F69">
        <v>4471.0</v>
      </c>
      <c r="G69">
        <v>3846.0</v>
      </c>
      <c r="H69">
        <v>4678.0</v>
      </c>
      <c r="I69">
        <v>7559.0</v>
      </c>
      <c r="J69">
        <v>7554.0</v>
      </c>
      <c r="K69">
        <v>3248.0</v>
      </c>
    </row>
    <row r="70" spans="1:11" x14ac:dyDescent="0.35">
      <c r="A70" s="3" t="s">
        <v>40</v>
      </c>
      <c r="B70">
        <v>2164349639.0</v>
      </c>
      <c r="C70">
        <v>2164528777.0</v>
      </c>
      <c r="D70">
        <v>2164704405.0</v>
      </c>
      <c r="E70">
        <v>2164704405.0</v>
      </c>
      <c r="F70">
        <v>2349567819.0</v>
      </c>
      <c r="G70">
        <v>2349591262.0</v>
      </c>
      <c r="H70">
        <v>2349591262.0</v>
      </c>
      <c r="I70">
        <v>2349591262.0</v>
      </c>
      <c r="J70">
        <v>2349591262.0</v>
      </c>
      <c r="K70">
        <v>2349591262.0</v>
      </c>
    </row>
    <row r="71" spans="1:11" x14ac:dyDescent="0.35">
      <c r="A71" s="3" t="s">
        <v>41</v>
      </c>
    </row>
    <row r="72" spans="1:11" x14ac:dyDescent="0.35">
      <c r="A72" s="3" t="s">
        <v>54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1" x14ac:dyDescent="0.35">
      <c r="A74" s="4"/>
    </row>
    <row r="75" spans="1:11" x14ac:dyDescent="0.35">
      <c r="A75" s="4"/>
    </row>
    <row r="76" spans="1:11" x14ac:dyDescent="0.35">
      <c r="A76" s="4"/>
    </row>
    <row r="77" spans="1:11" x14ac:dyDescent="0.35">
      <c r="A77" s="4"/>
    </row>
    <row r="78" spans="1:11" x14ac:dyDescent="0.35">
      <c r="A78" s="4"/>
    </row>
    <row r="79" spans="1:11" x14ac:dyDescent="0.35">
      <c r="A79" s="4"/>
    </row>
    <row r="80" spans="1:11" x14ac:dyDescent="0.35">
      <c r="A80" s="1" t="s">
        <v>27</v>
      </c>
    </row>
    <row r="81" spans="1:11" s="7" customFormat="1" x14ac:dyDescent="0.35">
      <c r="A81" s="6" t="s">
        <v>24</v>
      </c>
      <c r="B81" s="5">
        <v>42825.0</v>
      </c>
      <c r="C81" s="5">
        <v>43190.0</v>
      </c>
      <c r="D81" s="5">
        <v>43555.0</v>
      </c>
      <c r="E81" s="5">
        <v>43921.0</v>
      </c>
      <c r="F81" s="5">
        <v>44286.0</v>
      </c>
      <c r="G81" s="5">
        <v>44651.0</v>
      </c>
      <c r="H81" s="5">
        <v>45016.0</v>
      </c>
      <c r="I81" s="5">
        <v>45382.0</v>
      </c>
      <c r="J81" s="5">
        <v>45747.0</v>
      </c>
      <c r="K81" s="5">
        <v>46112.0</v>
      </c>
    </row>
    <row r="82" spans="1:11" s="1" customFormat="1" x14ac:dyDescent="0.35">
      <c r="A82" s="4" t="s">
        <v>18</v>
      </c>
      <c r="B82">
        <v>5185.0</v>
      </c>
      <c r="C82">
        <v>6059.0</v>
      </c>
      <c r="D82">
        <v>5800.0</v>
      </c>
      <c r="E82">
        <v>7623.0</v>
      </c>
      <c r="F82">
        <v>9163.0</v>
      </c>
      <c r="G82">
        <v>9048.0</v>
      </c>
      <c r="H82">
        <v>9991.0</v>
      </c>
      <c r="I82">
        <v>15469.0</v>
      </c>
      <c r="J82">
        <v>11886.0</v>
      </c>
      <c r="K82">
        <v>10999.0</v>
      </c>
    </row>
    <row r="83" spans="1:11" s="4" customFormat="1" x14ac:dyDescent="0.35">
      <c r="A83" s="4" t="s">
        <v>19</v>
      </c>
      <c r="B83">
        <v>-1173.0</v>
      </c>
      <c r="C83">
        <v>-1063.0</v>
      </c>
      <c r="D83">
        <v>-438.0</v>
      </c>
      <c r="E83">
        <v>1791.0</v>
      </c>
      <c r="F83">
        <v>-1228.0</v>
      </c>
      <c r="G83">
        <v>-1728.0</v>
      </c>
      <c r="H83">
        <v>-1484.0</v>
      </c>
      <c r="I83">
        <v>-5324.0</v>
      </c>
      <c r="J83">
        <v>6473.0</v>
      </c>
      <c r="K83">
        <v>-3676.0</v>
      </c>
    </row>
    <row r="84" spans="1:11" s="4" customFormat="1" x14ac:dyDescent="0.35">
      <c r="A84" s="4" t="s">
        <v>20</v>
      </c>
      <c r="B84">
        <v>-4214.0</v>
      </c>
      <c r="C84">
        <v>-4975.0</v>
      </c>
      <c r="D84">
        <v>-5390.0</v>
      </c>
      <c r="E84">
        <v>-6819.0</v>
      </c>
      <c r="F84">
        <v>-9309.0</v>
      </c>
      <c r="G84">
        <v>-8015.0</v>
      </c>
      <c r="H84">
        <v>-8953.0</v>
      </c>
      <c r="I84">
        <v>-10034.0</v>
      </c>
      <c r="J84">
        <v>-13101.0</v>
      </c>
      <c r="K84">
        <v>-10810.0</v>
      </c>
    </row>
    <row r="85" spans="1:11" s="1" customFormat="1" x14ac:dyDescent="0.35">
      <c r="A85" s="4" t="s">
        <v>21</v>
      </c>
      <c r="B85">
        <v>-202.0</v>
      </c>
      <c r="C85">
        <v>21.0</v>
      </c>
      <c r="D85">
        <v>-28.0</v>
      </c>
      <c r="E85">
        <v>2595.0</v>
      </c>
      <c r="F85">
        <v>-1374.0</v>
      </c>
      <c r="G85">
        <v>-695.0</v>
      </c>
      <c r="H85">
        <v>-446.0</v>
      </c>
      <c r="I85">
        <v>111.0</v>
      </c>
      <c r="J85">
        <v>5258.0</v>
      </c>
      <c r="K85">
        <v>-3487.0</v>
      </c>
    </row>
    <row r="86" spans="1:11" x14ac:dyDescent="0.35">
      <c r="A86" s="4"/>
    </row>
    <row r="87" spans="1:11" x14ac:dyDescent="0.35">
      <c r="A87" s="4"/>
    </row>
    <row r="88" spans="1:11" x14ac:dyDescent="0.35">
      <c r="A88" s="4"/>
    </row>
    <row r="89" spans="1:11" x14ac:dyDescent="0.35">
      <c r="A89" s="4"/>
    </row>
    <row r="90" spans="1:11" s="1" customFormat="1" x14ac:dyDescent="0.35">
      <c r="A90" s="1" t="s">
        <v>43</v>
      </c>
      <c r="B90">
        <v>872.61</v>
      </c>
      <c r="C90">
        <v>1276.11</v>
      </c>
      <c r="D90">
        <v>1633.53</v>
      </c>
      <c r="E90">
        <v>2199.83</v>
      </c>
      <c r="F90">
        <v>2327.12</v>
      </c>
      <c r="G90">
        <v>1960.7</v>
      </c>
      <c r="H90">
        <v>2450.44</v>
      </c>
      <c r="I90">
        <v>2167.14</v>
      </c>
      <c r="J90">
        <v>2161.88</v>
      </c>
      <c r="K90">
        <v>2055.2</v>
      </c>
    </row>
    <row r="92" spans="1:11" s="1" customFormat="1" x14ac:dyDescent="0.35">
      <c r="A92" s="1" t="s">
        <v>42</v>
      </c>
    </row>
    <row r="93" spans="1:11" x14ac:dyDescent="0.35">
      <c r="A93" s="3" t="s">
        <v>55</v>
      </c>
      <c r="B93" s="9">
        <v>216.43</v>
      </c>
      <c r="C93" s="9">
        <v>216.45</v>
      </c>
      <c r="D93" s="9">
        <v>216.47</v>
      </c>
      <c r="E93" s="9">
        <v>216.48</v>
      </c>
      <c r="F93" s="9">
        <v>234.96</v>
      </c>
      <c r="G93" s="9">
        <v>234.96</v>
      </c>
      <c r="H93" s="9">
        <v>234.96</v>
      </c>
      <c r="I93" s="9">
        <v>234.96</v>
      </c>
      <c r="J93" s="9">
        <v>234.96</v>
      </c>
      <c r="K93" s="9">
        <v>234.96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321E3-A930-4CE4-85CE-32A27A1120E4}">
  <dimension ref="B2:N34"/>
  <sheetViews>
    <sheetView workbookViewId="0">
      <selection activeCell="F29" sqref="F29"/>
    </sheetView>
  </sheetViews>
  <sheetFormatPr defaultRowHeight="14.5" x14ac:dyDescent="0.35"/>
  <cols>
    <col min="2" max="2" width="26" bestFit="1" customWidth="1"/>
    <col min="3" max="14" width="6.90625" bestFit="1" customWidth="1"/>
  </cols>
  <sheetData>
    <row r="2" spans="2:14" x14ac:dyDescent="0.35">
      <c r="B2" s="25"/>
      <c r="C2" s="25">
        <v>42064</v>
      </c>
      <c r="D2" s="25">
        <v>42430</v>
      </c>
      <c r="E2" s="25">
        <v>42795</v>
      </c>
      <c r="F2" s="25">
        <v>43160</v>
      </c>
      <c r="G2" s="25">
        <v>43525</v>
      </c>
      <c r="H2" s="25">
        <v>43891</v>
      </c>
      <c r="I2" s="25">
        <v>44256</v>
      </c>
      <c r="J2" s="25">
        <v>44621</v>
      </c>
      <c r="K2" s="25">
        <v>44986</v>
      </c>
      <c r="L2" s="25">
        <v>45352</v>
      </c>
      <c r="M2" s="25">
        <v>45717</v>
      </c>
      <c r="N2" s="25">
        <v>46082</v>
      </c>
    </row>
    <row r="3" spans="2:14" x14ac:dyDescent="0.35">
      <c r="B3" t="s">
        <v>118</v>
      </c>
      <c r="C3">
        <v>243</v>
      </c>
      <c r="D3">
        <v>418</v>
      </c>
      <c r="E3">
        <v>312</v>
      </c>
      <c r="F3">
        <v>305</v>
      </c>
      <c r="G3">
        <v>206</v>
      </c>
      <c r="H3">
        <v>333</v>
      </c>
      <c r="I3">
        <v>365</v>
      </c>
      <c r="J3">
        <v>444</v>
      </c>
      <c r="K3">
        <v>493</v>
      </c>
      <c r="L3">
        <v>526</v>
      </c>
      <c r="M3">
        <v>655</v>
      </c>
      <c r="N3">
        <v>873</v>
      </c>
    </row>
    <row r="4" spans="2:14" x14ac:dyDescent="0.35">
      <c r="B4" t="s">
        <v>92</v>
      </c>
      <c r="C4">
        <v>325</v>
      </c>
      <c r="D4">
        <v>514</v>
      </c>
      <c r="E4">
        <v>462</v>
      </c>
      <c r="F4">
        <v>402</v>
      </c>
      <c r="G4">
        <v>329</v>
      </c>
      <c r="H4">
        <v>343</v>
      </c>
      <c r="I4">
        <v>458</v>
      </c>
      <c r="J4">
        <v>679</v>
      </c>
      <c r="K4">
        <v>758</v>
      </c>
      <c r="L4">
        <v>826</v>
      </c>
      <c r="M4">
        <v>901</v>
      </c>
      <c r="N4" s="26">
        <v>1198</v>
      </c>
    </row>
    <row r="5" spans="2:14" x14ac:dyDescent="0.35">
      <c r="B5" t="s">
        <v>44</v>
      </c>
      <c r="C5">
        <v>-26</v>
      </c>
      <c r="D5">
        <v>-63</v>
      </c>
      <c r="E5">
        <v>-33</v>
      </c>
      <c r="F5">
        <v>-15</v>
      </c>
      <c r="G5">
        <v>-15</v>
      </c>
      <c r="H5">
        <v>10</v>
      </c>
      <c r="I5">
        <v>-30</v>
      </c>
      <c r="J5">
        <v>-37</v>
      </c>
      <c r="K5">
        <v>-112</v>
      </c>
      <c r="L5">
        <v>-55</v>
      </c>
      <c r="M5">
        <v>-93</v>
      </c>
      <c r="N5">
        <v>-237</v>
      </c>
    </row>
    <row r="6" spans="2:14" x14ac:dyDescent="0.35">
      <c r="B6" t="s">
        <v>30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2:14" x14ac:dyDescent="0.35">
      <c r="B7" t="s">
        <v>93</v>
      </c>
      <c r="C7">
        <v>1</v>
      </c>
      <c r="D7">
        <v>32</v>
      </c>
      <c r="E7">
        <v>-12</v>
      </c>
      <c r="F7">
        <v>18</v>
      </c>
      <c r="G7">
        <v>-3</v>
      </c>
      <c r="H7">
        <v>0</v>
      </c>
      <c r="I7">
        <v>7</v>
      </c>
      <c r="J7">
        <v>15</v>
      </c>
      <c r="K7">
        <v>20</v>
      </c>
      <c r="L7">
        <v>11</v>
      </c>
      <c r="M7">
        <v>21</v>
      </c>
      <c r="N7">
        <v>53</v>
      </c>
    </row>
    <row r="8" spans="2:14" x14ac:dyDescent="0.35">
      <c r="B8" t="s">
        <v>94</v>
      </c>
      <c r="C8">
        <v>-8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2:14" x14ac:dyDescent="0.35">
      <c r="B9" t="s">
        <v>95</v>
      </c>
      <c r="C9">
        <v>19</v>
      </c>
      <c r="D9">
        <v>48</v>
      </c>
      <c r="E9">
        <v>-3</v>
      </c>
      <c r="F9">
        <v>-6</v>
      </c>
      <c r="G9">
        <v>-12</v>
      </c>
      <c r="H9">
        <v>39</v>
      </c>
      <c r="I9">
        <v>31</v>
      </c>
      <c r="J9">
        <v>-48</v>
      </c>
      <c r="K9">
        <v>5</v>
      </c>
      <c r="L9">
        <v>-84</v>
      </c>
      <c r="M9">
        <v>-11</v>
      </c>
      <c r="N9">
        <v>85</v>
      </c>
    </row>
    <row r="10" spans="2:14" x14ac:dyDescent="0.35">
      <c r="B10" t="s">
        <v>96</v>
      </c>
      <c r="C10">
        <v>-15</v>
      </c>
      <c r="D10">
        <v>16</v>
      </c>
      <c r="E10">
        <v>-47</v>
      </c>
      <c r="F10">
        <v>-3</v>
      </c>
      <c r="G10">
        <v>-30</v>
      </c>
      <c r="H10">
        <v>49</v>
      </c>
      <c r="I10">
        <v>7</v>
      </c>
      <c r="J10">
        <v>-70</v>
      </c>
      <c r="K10">
        <v>-87</v>
      </c>
      <c r="L10">
        <v>-128</v>
      </c>
      <c r="M10">
        <v>-82</v>
      </c>
      <c r="N10">
        <v>-99</v>
      </c>
    </row>
    <row r="11" spans="2:14" x14ac:dyDescent="0.35">
      <c r="B11" t="s">
        <v>97</v>
      </c>
      <c r="C11">
        <v>-68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-164</v>
      </c>
      <c r="K11">
        <v>-178</v>
      </c>
      <c r="L11">
        <v>-172</v>
      </c>
      <c r="M11">
        <v>-164</v>
      </c>
      <c r="N11">
        <v>-225</v>
      </c>
    </row>
    <row r="12" spans="2:14" x14ac:dyDescent="0.35">
      <c r="B12" t="s">
        <v>98</v>
      </c>
      <c r="C12">
        <v>0</v>
      </c>
      <c r="D12">
        <v>-113</v>
      </c>
      <c r="E12">
        <v>-103</v>
      </c>
      <c r="F12">
        <v>-95</v>
      </c>
      <c r="G12">
        <v>-93</v>
      </c>
      <c r="H12">
        <v>-59</v>
      </c>
      <c r="I12">
        <v>-100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2:14" x14ac:dyDescent="0.35">
      <c r="B13" t="s">
        <v>119</v>
      </c>
      <c r="C13">
        <v>-62</v>
      </c>
      <c r="D13">
        <v>-167</v>
      </c>
      <c r="E13">
        <v>-175</v>
      </c>
      <c r="F13">
        <v>26</v>
      </c>
      <c r="G13">
        <v>-230</v>
      </c>
      <c r="H13">
        <v>24</v>
      </c>
      <c r="I13">
        <v>-2</v>
      </c>
      <c r="J13">
        <v>44</v>
      </c>
      <c r="K13">
        <v>-55</v>
      </c>
      <c r="L13">
        <v>-483</v>
      </c>
      <c r="M13">
        <v>143</v>
      </c>
      <c r="N13">
        <v>-141</v>
      </c>
    </row>
    <row r="14" spans="2:14" x14ac:dyDescent="0.35">
      <c r="B14" t="s">
        <v>99</v>
      </c>
      <c r="C14">
        <v>-61</v>
      </c>
      <c r="D14">
        <v>-53</v>
      </c>
      <c r="E14">
        <v>-30</v>
      </c>
      <c r="F14">
        <v>-42</v>
      </c>
      <c r="G14">
        <v>-52</v>
      </c>
      <c r="H14">
        <v>-34</v>
      </c>
      <c r="I14">
        <v>-39</v>
      </c>
      <c r="J14">
        <v>-61</v>
      </c>
      <c r="K14">
        <v>-91</v>
      </c>
      <c r="L14">
        <v>-67</v>
      </c>
      <c r="M14">
        <v>-121</v>
      </c>
      <c r="N14">
        <v>-119</v>
      </c>
    </row>
    <row r="15" spans="2:14" x14ac:dyDescent="0.35">
      <c r="B15" t="s">
        <v>100</v>
      </c>
      <c r="C15">
        <v>0</v>
      </c>
      <c r="D15">
        <v>1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1</v>
      </c>
      <c r="L15">
        <v>3</v>
      </c>
      <c r="M15">
        <v>6</v>
      </c>
      <c r="N15">
        <v>1</v>
      </c>
    </row>
    <row r="16" spans="2:14" x14ac:dyDescent="0.35">
      <c r="B16" t="s">
        <v>101</v>
      </c>
      <c r="C16">
        <v>-356</v>
      </c>
      <c r="D16">
        <v>-859</v>
      </c>
      <c r="E16">
        <v>-803</v>
      </c>
      <c r="F16">
        <v>-844</v>
      </c>
      <c r="G16" s="26">
        <v>-1363</v>
      </c>
      <c r="H16" s="26">
        <v>-1196</v>
      </c>
      <c r="I16">
        <v>-919</v>
      </c>
      <c r="J16" s="26">
        <v>-1158</v>
      </c>
      <c r="K16" s="26">
        <v>-1612</v>
      </c>
      <c r="L16" s="26">
        <v>-1662</v>
      </c>
      <c r="M16" s="26">
        <v>-2043</v>
      </c>
      <c r="N16" s="26">
        <v>-2187</v>
      </c>
    </row>
    <row r="17" spans="2:14" x14ac:dyDescent="0.35">
      <c r="B17" t="s">
        <v>102</v>
      </c>
      <c r="C17">
        <v>316</v>
      </c>
      <c r="D17">
        <v>796</v>
      </c>
      <c r="E17">
        <v>773</v>
      </c>
      <c r="F17">
        <v>930</v>
      </c>
      <c r="G17" s="26">
        <v>1242</v>
      </c>
      <c r="H17" s="26">
        <v>1059</v>
      </c>
      <c r="I17" s="26">
        <v>1143</v>
      </c>
      <c r="J17" s="26">
        <v>1197</v>
      </c>
      <c r="K17" s="26">
        <v>1548</v>
      </c>
      <c r="L17" s="26">
        <v>1546</v>
      </c>
      <c r="M17" s="26">
        <v>2155</v>
      </c>
      <c r="N17" s="26">
        <v>2198</v>
      </c>
    </row>
    <row r="18" spans="2:14" x14ac:dyDescent="0.35">
      <c r="B18" t="s">
        <v>103</v>
      </c>
      <c r="C18">
        <v>14</v>
      </c>
      <c r="D18">
        <v>7</v>
      </c>
      <c r="E18">
        <v>7</v>
      </c>
      <c r="F18">
        <v>14</v>
      </c>
      <c r="G18">
        <v>19</v>
      </c>
      <c r="H18">
        <v>21</v>
      </c>
      <c r="I18">
        <v>13</v>
      </c>
      <c r="J18">
        <v>4</v>
      </c>
      <c r="K18">
        <v>6</v>
      </c>
      <c r="L18">
        <v>21</v>
      </c>
      <c r="M18">
        <v>25</v>
      </c>
      <c r="N18">
        <v>30</v>
      </c>
    </row>
    <row r="19" spans="2:14" x14ac:dyDescent="0.35">
      <c r="B19" t="s">
        <v>104</v>
      </c>
      <c r="C19">
        <v>6</v>
      </c>
      <c r="D19">
        <v>5</v>
      </c>
      <c r="E19">
        <v>13</v>
      </c>
      <c r="F19">
        <v>15</v>
      </c>
      <c r="G19">
        <v>10</v>
      </c>
      <c r="H19">
        <v>7</v>
      </c>
      <c r="I19">
        <v>0</v>
      </c>
      <c r="J19">
        <v>0</v>
      </c>
      <c r="K19">
        <v>0</v>
      </c>
      <c r="L19">
        <v>0</v>
      </c>
      <c r="M19">
        <v>2</v>
      </c>
      <c r="N19">
        <v>3</v>
      </c>
    </row>
    <row r="20" spans="2:14" x14ac:dyDescent="0.35">
      <c r="B20" t="s">
        <v>105</v>
      </c>
      <c r="C20">
        <v>0</v>
      </c>
      <c r="D20">
        <v>-107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2:14" x14ac:dyDescent="0.35">
      <c r="B21" t="s">
        <v>106</v>
      </c>
      <c r="C21">
        <v>19</v>
      </c>
      <c r="D21">
        <v>44</v>
      </c>
      <c r="E21">
        <v>-136</v>
      </c>
      <c r="F21">
        <v>-47</v>
      </c>
      <c r="G21">
        <v>-85</v>
      </c>
      <c r="H21">
        <v>167</v>
      </c>
      <c r="I21">
        <v>-200</v>
      </c>
      <c r="J21">
        <v>61</v>
      </c>
      <c r="K21">
        <v>93</v>
      </c>
      <c r="L21">
        <v>-324</v>
      </c>
      <c r="M21">
        <v>118</v>
      </c>
      <c r="N21">
        <v>-67</v>
      </c>
    </row>
    <row r="22" spans="2:14" x14ac:dyDescent="0.35">
      <c r="B22" t="s">
        <v>120</v>
      </c>
      <c r="C22">
        <v>-115</v>
      </c>
      <c r="D22">
        <v>-165</v>
      </c>
      <c r="E22">
        <v>-245</v>
      </c>
      <c r="F22">
        <v>-304</v>
      </c>
      <c r="G22">
        <v>-54</v>
      </c>
      <c r="H22">
        <v>-308</v>
      </c>
      <c r="I22">
        <v>-188</v>
      </c>
      <c r="J22">
        <v>-416</v>
      </c>
      <c r="K22">
        <v>-440</v>
      </c>
      <c r="L22">
        <v>-107</v>
      </c>
      <c r="M22">
        <v>-610</v>
      </c>
      <c r="N22">
        <v>-622</v>
      </c>
    </row>
    <row r="23" spans="2:14" x14ac:dyDescent="0.35">
      <c r="B23" t="s">
        <v>107</v>
      </c>
      <c r="C23">
        <v>8</v>
      </c>
      <c r="D23">
        <v>14</v>
      </c>
      <c r="E23">
        <v>8</v>
      </c>
      <c r="F23">
        <v>9</v>
      </c>
      <c r="G23">
        <v>5</v>
      </c>
      <c r="H23">
        <v>1</v>
      </c>
      <c r="I23">
        <v>0</v>
      </c>
      <c r="J23">
        <v>0</v>
      </c>
      <c r="K23">
        <v>0</v>
      </c>
      <c r="L23">
        <v>0</v>
      </c>
      <c r="M23">
        <v>30</v>
      </c>
      <c r="N23">
        <v>32</v>
      </c>
    </row>
    <row r="24" spans="2:14" x14ac:dyDescent="0.35">
      <c r="B24" t="s">
        <v>108</v>
      </c>
      <c r="C24">
        <v>0</v>
      </c>
      <c r="D24">
        <v>0</v>
      </c>
      <c r="E24">
        <v>0</v>
      </c>
      <c r="F24">
        <v>5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</row>
    <row r="25" spans="2:14" x14ac:dyDescent="0.35">
      <c r="B25" t="s">
        <v>109</v>
      </c>
      <c r="C25">
        <v>0</v>
      </c>
      <c r="D25">
        <v>0</v>
      </c>
      <c r="E25">
        <v>-2</v>
      </c>
      <c r="F25">
        <v>0</v>
      </c>
      <c r="G25">
        <v>-5</v>
      </c>
      <c r="H25">
        <v>-1</v>
      </c>
      <c r="I25">
        <v>-1</v>
      </c>
      <c r="J25">
        <v>0</v>
      </c>
      <c r="K25">
        <v>0</v>
      </c>
      <c r="L25">
        <v>-1</v>
      </c>
      <c r="M25">
        <v>0</v>
      </c>
      <c r="N25">
        <v>0</v>
      </c>
    </row>
    <row r="26" spans="2:14" x14ac:dyDescent="0.35">
      <c r="B26" t="s">
        <v>110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2:14" x14ac:dyDescent="0.35">
      <c r="B27" t="s">
        <v>111</v>
      </c>
      <c r="C27">
        <v>0</v>
      </c>
      <c r="D27">
        <v>0</v>
      </c>
      <c r="E27">
        <v>0</v>
      </c>
      <c r="F27">
        <v>0</v>
      </c>
      <c r="G27">
        <v>0</v>
      </c>
      <c r="H27">
        <v>-19</v>
      </c>
      <c r="I27">
        <v>-20</v>
      </c>
      <c r="J27">
        <v>-22</v>
      </c>
      <c r="K27">
        <v>-21</v>
      </c>
      <c r="L27">
        <v>-23</v>
      </c>
      <c r="M27">
        <v>-35</v>
      </c>
      <c r="N27">
        <v>-43</v>
      </c>
    </row>
    <row r="28" spans="2:14" x14ac:dyDescent="0.35">
      <c r="B28" t="s">
        <v>112</v>
      </c>
      <c r="C28">
        <v>-106</v>
      </c>
      <c r="D28">
        <v>-107</v>
      </c>
      <c r="E28">
        <v>-4</v>
      </c>
      <c r="F28">
        <v>-4</v>
      </c>
      <c r="G28">
        <v>-4</v>
      </c>
      <c r="H28">
        <v>-4</v>
      </c>
      <c r="I28">
        <v>-3</v>
      </c>
      <c r="J28">
        <v>-3</v>
      </c>
      <c r="K28">
        <v>-3</v>
      </c>
      <c r="L28">
        <v>-5</v>
      </c>
      <c r="M28">
        <v>-5</v>
      </c>
      <c r="N28">
        <v>-5</v>
      </c>
    </row>
    <row r="29" spans="2:14" x14ac:dyDescent="0.35">
      <c r="B29" t="s">
        <v>113</v>
      </c>
      <c r="C29">
        <v>0</v>
      </c>
      <c r="D29">
        <v>0</v>
      </c>
      <c r="E29">
        <v>0</v>
      </c>
      <c r="F29">
        <v>0</v>
      </c>
      <c r="G29">
        <v>0</v>
      </c>
      <c r="H29">
        <v>-26</v>
      </c>
      <c r="I29">
        <v>-29</v>
      </c>
      <c r="J29">
        <v>-36</v>
      </c>
      <c r="K29">
        <v>-39</v>
      </c>
      <c r="L29">
        <v>-46</v>
      </c>
      <c r="M29">
        <v>-36</v>
      </c>
      <c r="N29">
        <v>-54</v>
      </c>
    </row>
    <row r="30" spans="2:14" x14ac:dyDescent="0.35">
      <c r="B30" t="s">
        <v>114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28</v>
      </c>
      <c r="K30">
        <v>22</v>
      </c>
      <c r="L30">
        <v>15</v>
      </c>
      <c r="M30">
        <v>0</v>
      </c>
      <c r="N30">
        <v>0</v>
      </c>
    </row>
    <row r="31" spans="2:14" x14ac:dyDescent="0.35">
      <c r="B31" t="s">
        <v>115</v>
      </c>
      <c r="C31">
        <v>-18</v>
      </c>
      <c r="D31">
        <v>-73</v>
      </c>
      <c r="E31">
        <v>-247</v>
      </c>
      <c r="F31">
        <v>-313</v>
      </c>
      <c r="G31">
        <v>-51</v>
      </c>
      <c r="H31">
        <v>-260</v>
      </c>
      <c r="I31">
        <v>-135</v>
      </c>
      <c r="J31">
        <v>-383</v>
      </c>
      <c r="K31">
        <v>-399</v>
      </c>
      <c r="L31">
        <v>-46</v>
      </c>
      <c r="M31">
        <v>-564</v>
      </c>
      <c r="N31">
        <v>-552</v>
      </c>
    </row>
    <row r="32" spans="2:14" x14ac:dyDescent="0.35">
      <c r="B32" t="s">
        <v>21</v>
      </c>
      <c r="C32">
        <v>66</v>
      </c>
      <c r="D32">
        <v>86</v>
      </c>
      <c r="E32">
        <v>-108</v>
      </c>
      <c r="F32">
        <v>28</v>
      </c>
      <c r="G32">
        <v>-77</v>
      </c>
      <c r="H32">
        <v>49</v>
      </c>
      <c r="I32">
        <v>174</v>
      </c>
      <c r="J32">
        <v>71</v>
      </c>
      <c r="K32">
        <v>-2</v>
      </c>
      <c r="L32">
        <v>-64</v>
      </c>
      <c r="M32">
        <v>188</v>
      </c>
      <c r="N32">
        <v>111</v>
      </c>
    </row>
    <row r="33" spans="2:14" x14ac:dyDescent="0.35">
      <c r="B33" t="s">
        <v>116</v>
      </c>
      <c r="C33">
        <v>182</v>
      </c>
      <c r="D33">
        <v>366</v>
      </c>
      <c r="E33">
        <v>283</v>
      </c>
      <c r="F33">
        <v>264</v>
      </c>
      <c r="G33">
        <v>154</v>
      </c>
      <c r="H33">
        <v>299</v>
      </c>
      <c r="I33">
        <v>326</v>
      </c>
      <c r="J33">
        <v>383</v>
      </c>
      <c r="K33">
        <v>403</v>
      </c>
      <c r="L33">
        <v>462</v>
      </c>
      <c r="M33">
        <v>539</v>
      </c>
      <c r="N33">
        <v>756</v>
      </c>
    </row>
    <row r="34" spans="2:14" x14ac:dyDescent="0.35">
      <c r="B34" t="s">
        <v>117</v>
      </c>
      <c r="C34" s="27">
        <v>0.98</v>
      </c>
      <c r="D34" s="27">
        <v>0.87</v>
      </c>
      <c r="E34" s="27">
        <v>0.68</v>
      </c>
      <c r="F34" s="27">
        <v>0.83</v>
      </c>
      <c r="G34" s="27">
        <v>0.67</v>
      </c>
      <c r="H34" s="27">
        <v>1.02</v>
      </c>
      <c r="I34" s="27">
        <v>0.81</v>
      </c>
      <c r="J34" s="27">
        <v>0.92</v>
      </c>
      <c r="K34" s="27">
        <v>0.93</v>
      </c>
      <c r="L34" s="27">
        <v>0.9</v>
      </c>
      <c r="M34" s="27">
        <v>1.01</v>
      </c>
      <c r="N34" s="27">
        <v>1.04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Financials&gt;</vt:lpstr>
      <vt:lpstr>HistoricalFS</vt:lpstr>
      <vt:lpstr>Ratio Analysis</vt:lpstr>
      <vt:lpstr>Forecasting </vt:lpstr>
      <vt:lpstr>Data&gt;</vt:lpstr>
      <vt:lpstr>Data Sheet</vt:lpstr>
      <vt:lpstr>Cash Flow Data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BINI K</cp:lastModifiedBy>
  <cp:lastPrinted>2026-07-18T18:55:47Z</cp:lastPrinted>
  <dcterms:created xsi:type="dcterms:W3CDTF">2012-08-17T09:55:37Z</dcterms:created>
  <dcterms:modified xsi:type="dcterms:W3CDTF">2026-07-22T22:24:49Z</dcterms:modified>
</cp:coreProperties>
</file>