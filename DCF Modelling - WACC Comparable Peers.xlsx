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ib\Desktop\"/>
    </mc:Choice>
  </mc:AlternateContent>
  <xr:revisionPtr revIDLastSave="0" documentId="8_{5D38E2B2-6A39-42F4-8572-D7E14B73696F}" xr6:coauthVersionLast="47" xr6:coauthVersionMax="47" xr10:uidLastSave="{00000000-0000-0000-0000-000000000000}"/>
  <bookViews>
    <workbookView xWindow="-110" yWindow="-110" windowWidth="19420" windowHeight="10420" activeTab="3" xr2:uid="{604B4520-9B4F-4290-B00C-F9B5C6918EE9}"/>
  </bookViews>
  <sheets>
    <sheet name="WACC" sheetId="1" r:id="rId1"/>
    <sheet name="Data - Hind. Unilever" sheetId="5" r:id="rId2"/>
    <sheet name="Data - Nestle India" sheetId="6" r:id="rId3"/>
    <sheet name="Data - Britannia Inds." sheetId="7" r:id="rId4"/>
    <sheet name="Data - Godrej Consumer" sheetId="8" r:id="rId5"/>
    <sheet name="Data - Dabur India" sheetId="9" r:id="rId6"/>
    <sheet name="Beta Comps" sheetId="4" r:id="rId7"/>
    <sheet name="DCF&gt;" sheetId="2" r:id="rId8"/>
  </sheets>
  <definedNames>
    <definedName name="_xlnm._FilterDatabase" localSheetId="1" hidden="1">'Data - Hind. Unilever'!$B$6:$D$111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K22" i="1"/>
  <c r="F6" i="2"/>
  <c r="F4" i="2"/>
  <c r="J13" i="1"/>
  <c r="J12" i="1"/>
  <c r="J11" i="1"/>
  <c r="J10" i="1"/>
  <c r="J9" i="1"/>
  <c r="F10" i="1"/>
  <c r="F11" i="1"/>
  <c r="F12" i="1"/>
  <c r="F13" i="1"/>
  <c r="F9" i="1"/>
  <c r="C31" i="1" s="1"/>
  <c r="E10" i="1"/>
  <c r="E11" i="1"/>
  <c r="E12" i="1"/>
  <c r="E13" i="1"/>
  <c r="E9" i="1"/>
  <c r="C30" i="1" s="1"/>
  <c r="J13" i="9"/>
  <c r="J6" i="9"/>
  <c r="M2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8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7" i="9"/>
  <c r="B2" i="9"/>
  <c r="J6" i="8"/>
  <c r="J13" i="8" s="1"/>
  <c r="M22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8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B2" i="8"/>
  <c r="J13" i="7"/>
  <c r="J6" i="7"/>
  <c r="M22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G8" i="7"/>
  <c r="D8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7" i="7"/>
  <c r="B2" i="7"/>
  <c r="J13" i="6"/>
  <c r="J6" i="6"/>
  <c r="M22" i="6"/>
  <c r="M22" i="5"/>
  <c r="G9" i="6" l="1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B2" i="6"/>
  <c r="J6" i="5"/>
  <c r="J13" i="5" s="1"/>
  <c r="G111" i="5" l="1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K31" i="1"/>
  <c r="C32" i="1"/>
  <c r="D31" i="1" s="1"/>
  <c r="E23" i="1"/>
  <c r="J37" i="1" s="1"/>
  <c r="J16" i="1"/>
  <c r="J15" i="1"/>
  <c r="G16" i="1"/>
  <c r="G15" i="1"/>
  <c r="I10" i="1"/>
  <c r="I11" i="1"/>
  <c r="I12" i="1"/>
  <c r="I13" i="1"/>
  <c r="I9" i="1"/>
  <c r="H10" i="1"/>
  <c r="K10" i="1" s="1"/>
  <c r="H11" i="1"/>
  <c r="K11" i="1" s="1"/>
  <c r="H12" i="1"/>
  <c r="K12" i="1" s="1"/>
  <c r="H13" i="1"/>
  <c r="K13" i="1" s="1"/>
  <c r="H9" i="1"/>
  <c r="H16" i="1" l="1"/>
  <c r="I16" i="1"/>
  <c r="E30" i="1" s="1"/>
  <c r="K37" i="1" s="1"/>
  <c r="D32" i="1"/>
  <c r="E32" i="1" s="1"/>
  <c r="D30" i="1"/>
  <c r="D34" i="1" s="1"/>
  <c r="K9" i="1"/>
  <c r="I15" i="1"/>
  <c r="H15" i="1"/>
  <c r="E31" i="1" l="1"/>
  <c r="K38" i="1" s="1"/>
  <c r="K16" i="1"/>
  <c r="K29" i="1" s="1"/>
  <c r="K15" i="1"/>
  <c r="E34" i="1" l="1"/>
  <c r="K30" i="1" s="1"/>
  <c r="K32" i="1" s="1"/>
  <c r="K23" i="1" s="1"/>
  <c r="K24" i="1" s="1"/>
  <c r="J38" i="1" s="1"/>
  <c r="K39" i="1" s="1"/>
</calcChain>
</file>

<file path=xl/sharedStrings.xml><?xml version="1.0" encoding="utf-8"?>
<sst xmlns="http://schemas.openxmlformats.org/spreadsheetml/2006/main" count="272" uniqueCount="104">
  <si>
    <t xml:space="preserve">Weighted Average Cost Of Capital </t>
  </si>
  <si>
    <t xml:space="preserve">All figures are INR unless stated otherwise </t>
  </si>
  <si>
    <t>Peer Comps</t>
  </si>
  <si>
    <t xml:space="preserve">Name of the Company </t>
  </si>
  <si>
    <t xml:space="preserve">Country </t>
  </si>
  <si>
    <t>Total Debt</t>
  </si>
  <si>
    <t xml:space="preserve">Total Equity </t>
  </si>
  <si>
    <t xml:space="preserve">Tax Rate </t>
  </si>
  <si>
    <r>
      <t xml:space="preserve">Tax Rate </t>
    </r>
    <r>
      <rPr>
        <vertAlign val="superscript"/>
        <sz val="11"/>
        <color theme="1"/>
        <rFont val="Aptos Narrow"/>
        <family val="2"/>
        <scheme val="minor"/>
      </rPr>
      <t>1</t>
    </r>
  </si>
  <si>
    <t>Debt/</t>
  </si>
  <si>
    <t xml:space="preserve">Equity 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</si>
  <si>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</si>
  <si>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</si>
  <si>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</si>
  <si>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</si>
  <si>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Aptos Narrow"/>
        <family val="2"/>
        <scheme val="minor"/>
      </rPr>
      <t>3</t>
    </r>
  </si>
  <si>
    <t>Hind. Unilever</t>
  </si>
  <si>
    <t>India</t>
  </si>
  <si>
    <t>Nestle India</t>
  </si>
  <si>
    <t>Britannia Inds.</t>
  </si>
  <si>
    <t>Godrej Consumer</t>
  </si>
  <si>
    <t>Dabur India</t>
  </si>
  <si>
    <t xml:space="preserve">Average </t>
  </si>
  <si>
    <t>Median</t>
  </si>
  <si>
    <t xml:space="preserve">Cost of Debt </t>
  </si>
  <si>
    <t xml:space="preserve">Pre tax cost of debt </t>
  </si>
  <si>
    <t xml:space="preserve">Tax rate </t>
  </si>
  <si>
    <t xml:space="preserve">Post Tax cost of debt </t>
  </si>
  <si>
    <t xml:space="preserve">Cost of Equity </t>
  </si>
  <si>
    <t xml:space="preserve">Equity Risk Premium </t>
  </si>
  <si>
    <t xml:space="preserve">Risk free rate </t>
  </si>
  <si>
    <r>
      <t xml:space="preserve">Levered Beta </t>
    </r>
    <r>
      <rPr>
        <vertAlign val="superscript"/>
        <sz val="11"/>
        <color theme="1"/>
        <rFont val="Aptos Narrow"/>
        <family val="2"/>
        <scheme val="minor"/>
      </rPr>
      <t>4</t>
    </r>
  </si>
  <si>
    <t xml:space="preserve">Capital Structure </t>
  </si>
  <si>
    <t xml:space="preserve">Current </t>
  </si>
  <si>
    <t xml:space="preserve">Target </t>
  </si>
  <si>
    <t xml:space="preserve">Total Debt </t>
  </si>
  <si>
    <t xml:space="preserve">Market Capitalization </t>
  </si>
  <si>
    <t>Total Capital</t>
  </si>
  <si>
    <t xml:space="preserve">Levered Beta </t>
  </si>
  <si>
    <t xml:space="preserve">Comps Median Unlevered Beta </t>
  </si>
  <si>
    <t xml:space="preserve">Target Debt / Equity </t>
  </si>
  <si>
    <t xml:space="preserve">Debt / Equity </t>
  </si>
  <si>
    <t>Weighted Average Cost of Capital</t>
  </si>
  <si>
    <t xml:space="preserve">Debt </t>
  </si>
  <si>
    <t xml:space="preserve">Total Cost </t>
  </si>
  <si>
    <t xml:space="preserve">Total Weight </t>
  </si>
  <si>
    <t xml:space="preserve">Weighted Average Cost of Capital </t>
  </si>
  <si>
    <t xml:space="preserve">Notes </t>
  </si>
  <si>
    <t xml:space="preserve">1. Tax rate considered as mariginal tax rate of country </t>
  </si>
  <si>
    <t xml:space="preserve">2. Levered Beta is based on 5 year montly data </t>
  </si>
  <si>
    <t>3.Unlevered Beta = Levered Beta / (1+(Debt /Equity *(1- Tax rate )</t>
  </si>
  <si>
    <t>4.Levered Beta = Unlevered Beta  * (1+(Debt /Equity *(1- Tax rate )</t>
  </si>
  <si>
    <t>Date</t>
  </si>
  <si>
    <t>Adj Closing Price</t>
  </si>
  <si>
    <t>Hindustan Unilever Weekly Returns</t>
  </si>
  <si>
    <t xml:space="preserve"> Return </t>
  </si>
  <si>
    <t>Nifty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</si>
  <si>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</si>
  <si>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</si>
  <si>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</si>
  <si>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</si>
  <si>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</si>
  <si>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</si>
  <si>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</si>
  <si>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</si>
  <si>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</si>
  <si>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</si>
  <si>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</si>
  <si>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</si>
  <si>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</si>
  <si>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</si>
  <si>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</si>
  <si>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</si>
  <si>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</si>
  <si>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</si>
  <si>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</si>
  <si>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</si>
  <si>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</si>
  <si>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</si>
  <si>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</si>
  <si>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</si>
  <si>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</si>
  <si>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Beta Drifting </t>
  </si>
  <si>
    <t>Levered Raw Beta</t>
  </si>
  <si>
    <t xml:space="preserve">Beta Weight </t>
  </si>
  <si>
    <t>Market Beta</t>
  </si>
  <si>
    <t xml:space="preserve">Market Beta Weight </t>
  </si>
  <si>
    <t>Adjusted Beta</t>
  </si>
  <si>
    <t xml:space="preserve">Regression Beta - 2 Years Weekly </t>
  </si>
  <si>
    <t>Nestle India Weekly Returns</t>
  </si>
  <si>
    <t>Britannia India Weekly Returns</t>
  </si>
  <si>
    <t>Dabur India Weekly Returns</t>
  </si>
  <si>
    <t>Godrej Weekly Returns</t>
  </si>
  <si>
    <t>S.No.</t>
  </si>
  <si>
    <t>Name</t>
  </si>
  <si>
    <t>CMP Rs.</t>
  </si>
  <si>
    <t xml:space="preserve">Mar Cap Rs.Cr. </t>
  </si>
  <si>
    <t>Debt Rs.Cr.</t>
  </si>
  <si>
    <t>Debt / Eq</t>
  </si>
  <si>
    <t>Year</t>
  </si>
  <si>
    <t>Annual</t>
  </si>
  <si>
    <t xml:space="preserve">Average Return </t>
  </si>
  <si>
    <t>Dividend Yield</t>
  </si>
  <si>
    <t>Total 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</si>
</sst>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;[Red]0.00"/>
    <numFmt numFmtId="166" formatCode="0.0%"/>
    <numFmt numFmtId="167" formatCode="0.0000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3333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6" fillId="0" borderId="0" xfId="0" applyFont="1"/>
    <xf numFmtId="10" fontId="0" fillId="0" borderId="0" xfId="1" applyNumberFormat="1" applyFont="1"/>
    <xf numFmtId="2" fontId="6" fillId="0" borderId="0" xfId="0" applyNumberFormat="1" applyFont="1"/>
    <xf numFmtId="2" fontId="0" fillId="0" borderId="0" xfId="0" applyNumberFormat="1"/>
    <xf numFmtId="10" fontId="6" fillId="0" borderId="0" xfId="1" applyNumberFormat="1" applyFont="1"/>
    <xf numFmtId="10" fontId="0" fillId="0" borderId="1" xfId="1" applyNumberFormat="1" applyFont="1" applyBorder="1"/>
    <xf numFmtId="10" fontId="0" fillId="0" borderId="2" xfId="1" applyNumberFormat="1" applyFon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3" xfId="0" applyBorder="1"/>
    <xf numFmtId="10" fontId="0" fillId="0" borderId="3" xfId="1" applyNumberFormat="1" applyFont="1" applyBorder="1"/>
    <xf numFmtId="0" fontId="3" fillId="0" borderId="2" xfId="0" applyFont="1" applyBorder="1"/>
    <xf numFmtId="0" fontId="3" fillId="0" borderId="0" xfId="0" applyFont="1"/>
    <xf numFmtId="0" fontId="3" fillId="0" borderId="2" xfId="0" applyFont="1" applyBorder="1" applyAlignment="1">
      <alignment horizontal="right"/>
    </xf>
    <xf numFmtId="10" fontId="0" fillId="3" borderId="3" xfId="1" applyNumberFormat="1" applyFont="1" applyFill="1" applyBorder="1"/>
    <xf numFmtId="10" fontId="0" fillId="3" borderId="0" xfId="1" applyNumberFormat="1" applyFont="1" applyFill="1"/>
    <xf numFmtId="2" fontId="0" fillId="3" borderId="0" xfId="0" applyNumberFormat="1" applyFill="1"/>
    <xf numFmtId="10" fontId="6" fillId="0" borderId="0" xfId="0" applyNumberFormat="1" applyFont="1"/>
    <xf numFmtId="10" fontId="0" fillId="0" borderId="3" xfId="0" applyNumberFormat="1" applyBorder="1"/>
    <xf numFmtId="10" fontId="0" fillId="3" borderId="0" xfId="0" applyNumberFormat="1" applyFill="1"/>
    <xf numFmtId="2" fontId="0" fillId="3" borderId="1" xfId="0" applyNumberFormat="1" applyFill="1" applyBorder="1"/>
    <xf numFmtId="10" fontId="0" fillId="3" borderId="1" xfId="0" applyNumberFormat="1" applyFill="1" applyBorder="1"/>
    <xf numFmtId="164" fontId="6" fillId="0" borderId="0" xfId="0" applyNumberFormat="1" applyFont="1"/>
    <xf numFmtId="164" fontId="0" fillId="0" borderId="3" xfId="0" applyNumberFormat="1" applyBorder="1"/>
    <xf numFmtId="0" fontId="7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4" fontId="1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right"/>
    </xf>
    <xf numFmtId="0" fontId="3" fillId="4" borderId="0" xfId="0" applyFont="1" applyFill="1"/>
    <xf numFmtId="0" fontId="2" fillId="4" borderId="0" xfId="0" applyFont="1" applyFill="1"/>
    <xf numFmtId="0" fontId="10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right" vertical="top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4" xfId="0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Continuous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10" fontId="0" fillId="2" borderId="0" xfId="1" applyNumberFormat="1" applyFont="1" applyFill="1"/>
    <xf numFmtId="2" fontId="0" fillId="2" borderId="0" xfId="1" applyNumberFormat="1" applyFont="1" applyFill="1"/>
    <xf numFmtId="0" fontId="0" fillId="0" borderId="0" xfId="0" applyAlignment="1">
      <alignment wrapText="1"/>
    </xf>
    <xf numFmtId="14" fontId="11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2" fontId="3" fillId="0" borderId="0" xfId="0" applyNumberFormat="1" applyFont="1" applyAlignment="1">
      <alignment wrapText="1"/>
    </xf>
    <xf numFmtId="14" fontId="0" fillId="0" borderId="0" xfId="0" applyNumberFormat="1"/>
    <xf numFmtId="0" fontId="14" fillId="4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6" fontId="0" fillId="0" borderId="0" xfId="1" applyNumberFormat="1" applyFont="1"/>
    <xf numFmtId="10" fontId="0" fillId="0" borderId="0" xfId="0" applyNumberFormat="1" applyAlignment="1">
      <alignment horizontal="right"/>
    </xf>
    <xf numFmtId="10" fontId="6" fillId="0" borderId="0" xfId="0" applyNumberFormat="1" applyFont="1" applyAlignment="1">
      <alignment horizontal="right"/>
    </xf>
    <xf numFmtId="167" fontId="0" fillId="0" borderId="0" xfId="0" applyNumberFormat="1"/>
    <xf numFmtId="0" fontId="0" fillId="5" borderId="0" xfId="0" applyFill="1" applyAlignment="1">
      <alignment horizontal="right"/>
    </xf>
    <xf numFmtId="10" fontId="0" fillId="5" borderId="0" xfId="0" applyNumberFormat="1" applyFill="1"/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C81B-5CA6-48BD-8A83-3C4F9901C874}">
  <dimension ref="B2:O45"/>
  <sheetViews>
    <sheetView showGridLines="0" topLeftCell="A21" zoomScale="99" zoomScaleNormal="99" workbookViewId="0">
      <selection activeCell="K39" sqref="K39"/>
    </sheetView>
  </sheetViews>
  <sheetFormatPr defaultRowHeight="14.5" x14ac:dyDescent="0.35"/>
  <cols>
    <col min="1" max="1" width="1.81640625" customWidth="1"/>
    <col min="2" max="2" width="29.7265625" customWidth="1"/>
    <col min="3" max="3" width="10.6328125" customWidth="1"/>
    <col min="4" max="4" width="12.1796875" customWidth="1"/>
    <col min="5" max="5" width="12.6328125" customWidth="1"/>
    <col min="6" max="6" width="10.6328125" customWidth="1"/>
    <col min="10" max="10" width="10.6328125" customWidth="1"/>
    <col min="11" max="11" width="12.90625" customWidth="1"/>
    <col min="12" max="12" width="13.6328125" customWidth="1"/>
    <col min="13" max="13" width="23.54296875" customWidth="1"/>
  </cols>
  <sheetData>
    <row r="2" spans="2:15" x14ac:dyDescent="0.35">
      <c r="B2" s="35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7"/>
      <c r="N2" s="17"/>
      <c r="O2" s="17"/>
    </row>
    <row r="4" spans="2:15" s="1" customFormat="1" x14ac:dyDescent="0.35">
      <c r="B4" s="1" t="s">
        <v>1</v>
      </c>
    </row>
    <row r="6" spans="2:15" x14ac:dyDescent="0.35">
      <c r="B6" s="17" t="s">
        <v>2</v>
      </c>
    </row>
    <row r="7" spans="2:15" x14ac:dyDescent="0.35">
      <c r="B7" s="2"/>
      <c r="C7" s="2"/>
      <c r="D7" s="2"/>
      <c r="E7" s="2"/>
      <c r="F7" s="2"/>
      <c r="G7" s="2"/>
      <c r="H7" s="2" t="s">
        <v>9</v>
      </c>
      <c r="I7" s="2" t="s">
        <v>9</v>
      </c>
      <c r="J7" s="2" t="s">
        <v>12</v>
      </c>
      <c r="K7" s="2" t="s">
        <v>13</v>
      </c>
    </row>
    <row r="8" spans="2:15" ht="16.5" x14ac:dyDescent="0.35">
      <c r="B8" s="3" t="s">
        <v>3</v>
      </c>
      <c r="C8" s="3"/>
      <c r="D8" s="3" t="s">
        <v>4</v>
      </c>
      <c r="E8" s="3" t="s">
        <v>5</v>
      </c>
      <c r="F8" s="3" t="s">
        <v>6</v>
      </c>
      <c r="G8" s="3" t="s">
        <v>8</v>
      </c>
      <c r="H8" s="3" t="s">
        <v>10</v>
      </c>
      <c r="I8" s="3" t="s">
        <v>11</v>
      </c>
      <c r="J8" s="3" t="s">
        <v>14</v>
      </c>
      <c r="K8" s="3" t="s">
        <v>15</v>
      </c>
    </row>
    <row r="9" spans="2:15" x14ac:dyDescent="0.35">
      <c r="B9" s="5" t="s">
        <v>16</v>
      </c>
      <c r="C9" s="5"/>
      <c r="D9" s="5" t="s">
        <v>17</v>
      </c>
      <c r="E9" s="27">
        <f>'Beta Comps'!F5</f>
        <v>1478</v>
      </c>
      <c r="F9" s="27">
        <f>'Beta Comps'!E5</f>
        <v>511505.98</v>
      </c>
      <c r="G9" s="9">
        <v>0.3</v>
      </c>
      <c r="H9" s="20">
        <f>IFERROR(E9/F9,0)</f>
        <v>2.8895067854338673E-3</v>
      </c>
      <c r="I9" s="20">
        <f>IFERROR(E9/SUM(E9:F9),0)</f>
        <v>2.8811815916746563E-3</v>
      </c>
      <c r="J9" s="7">
        <f>'Data - Hind. Unilever'!J6</f>
        <v>0.56045174300658407</v>
      </c>
      <c r="K9" s="21">
        <f>IFERROR(J9/(1+H9*(1-G9)),0)</f>
        <v>0.55932043088040162</v>
      </c>
    </row>
    <row r="10" spans="2:15" x14ac:dyDescent="0.35">
      <c r="B10" s="5" t="s">
        <v>18</v>
      </c>
      <c r="C10" s="5"/>
      <c r="D10" s="5" t="s">
        <v>17</v>
      </c>
      <c r="E10" s="27">
        <f>'Beta Comps'!F6</f>
        <v>444.16</v>
      </c>
      <c r="F10" s="27">
        <f>'Beta Comps'!E6</f>
        <v>276905.89</v>
      </c>
      <c r="G10" s="9">
        <v>0.3</v>
      </c>
      <c r="H10" s="20">
        <f t="shared" ref="H10:H13" si="0">IFERROR(E10/F10,0)</f>
        <v>1.6040106622506297E-3</v>
      </c>
      <c r="I10" s="20">
        <f t="shared" ref="I10:I13" si="1">IFERROR(E10/SUM(E10:F10),0)</f>
        <v>1.6014419323162193E-3</v>
      </c>
      <c r="J10" s="7">
        <f>'Data - Nestle India'!J6</f>
        <v>0.77963166252973992</v>
      </c>
      <c r="K10" s="21">
        <f t="shared" ref="K10:K13" si="2">IFERROR(J10/(1+H10*(1-G10)),0)</f>
        <v>0.77875726805685208</v>
      </c>
    </row>
    <row r="11" spans="2:15" x14ac:dyDescent="0.35">
      <c r="B11" s="5" t="s">
        <v>19</v>
      </c>
      <c r="C11" s="5"/>
      <c r="D11" s="5" t="s">
        <v>17</v>
      </c>
      <c r="E11" s="27">
        <f>'Beta Comps'!F7</f>
        <v>1380.28</v>
      </c>
      <c r="F11" s="27">
        <f>'Beta Comps'!E7</f>
        <v>129103.03</v>
      </c>
      <c r="G11" s="9">
        <v>0.3</v>
      </c>
      <c r="H11" s="20">
        <f t="shared" si="0"/>
        <v>1.0691306005753699E-2</v>
      </c>
      <c r="I11" s="20">
        <f t="shared" si="1"/>
        <v>1.0578211113743206E-2</v>
      </c>
      <c r="J11" s="7">
        <f>'Data - Britannia Inds.'!J6</f>
        <v>0.51192831314280296</v>
      </c>
      <c r="K11" s="21">
        <f t="shared" si="2"/>
        <v>0.50812554515796604</v>
      </c>
    </row>
    <row r="12" spans="2:15" x14ac:dyDescent="0.35">
      <c r="B12" s="5" t="s">
        <v>20</v>
      </c>
      <c r="C12" s="5"/>
      <c r="D12" s="5" t="s">
        <v>17</v>
      </c>
      <c r="E12" s="27">
        <f>'Beta Comps'!F8</f>
        <v>4420.5200000000004</v>
      </c>
      <c r="F12" s="27">
        <f>'Beta Comps'!E8</f>
        <v>109595.96</v>
      </c>
      <c r="G12" s="9">
        <v>0.3</v>
      </c>
      <c r="H12" s="20">
        <f t="shared" si="0"/>
        <v>4.0334698468812172E-2</v>
      </c>
      <c r="I12" s="20">
        <f t="shared" si="1"/>
        <v>3.877088645430906E-2</v>
      </c>
      <c r="J12" s="7">
        <f>'Data - Godrej Consumer'!J6</f>
        <v>0.92476014312287402</v>
      </c>
      <c r="K12" s="21">
        <f t="shared" si="2"/>
        <v>0.89936715112549304</v>
      </c>
    </row>
    <row r="13" spans="2:15" x14ac:dyDescent="0.35">
      <c r="B13" s="5" t="s">
        <v>21</v>
      </c>
      <c r="C13" s="5"/>
      <c r="D13" s="5" t="s">
        <v>17</v>
      </c>
      <c r="E13" s="27">
        <f>'Beta Comps'!F9</f>
        <v>1287.32</v>
      </c>
      <c r="F13" s="27">
        <f>'Beta Comps'!E9</f>
        <v>75703.42</v>
      </c>
      <c r="G13" s="9">
        <v>0.3</v>
      </c>
      <c r="H13" s="20">
        <f t="shared" si="0"/>
        <v>1.7004779968989511E-2</v>
      </c>
      <c r="I13" s="20">
        <f t="shared" si="1"/>
        <v>1.6720452355698877E-2</v>
      </c>
      <c r="J13" s="7">
        <f>'Data - Dabur India'!J6</f>
        <v>0.87404025663793627</v>
      </c>
      <c r="K13" s="21">
        <f t="shared" si="2"/>
        <v>0.86375863871951875</v>
      </c>
    </row>
    <row r="15" spans="2:15" x14ac:dyDescent="0.35">
      <c r="F15" s="2" t="s">
        <v>22</v>
      </c>
      <c r="G15" s="10">
        <f>IFERROR(AVERAGE(G9:G13),0)</f>
        <v>0.3</v>
      </c>
      <c r="H15" s="10">
        <f t="shared" ref="H15:K15" si="3">IFERROR(AVERAGE(H9:H13),0)</f>
        <v>1.4504860378247974E-2</v>
      </c>
      <c r="I15" s="10">
        <f t="shared" si="3"/>
        <v>1.4110434689548404E-2</v>
      </c>
      <c r="J15" s="12">
        <f t="shared" si="3"/>
        <v>0.73016242368798745</v>
      </c>
      <c r="K15" s="12">
        <f t="shared" si="3"/>
        <v>0.72186580678804635</v>
      </c>
    </row>
    <row r="16" spans="2:15" x14ac:dyDescent="0.35">
      <c r="F16" s="3" t="s">
        <v>23</v>
      </c>
      <c r="G16" s="11">
        <f>IFERROR(MEDIAN(G9:G13),0)</f>
        <v>0.3</v>
      </c>
      <c r="H16" s="11">
        <f t="shared" ref="H16:K16" si="4">IFERROR(MEDIAN(H9:H13),0)</f>
        <v>1.0691306005753699E-2</v>
      </c>
      <c r="I16" s="11">
        <f t="shared" si="4"/>
        <v>1.0578211113743206E-2</v>
      </c>
      <c r="J16" s="13">
        <f t="shared" si="4"/>
        <v>0.77963166252973992</v>
      </c>
      <c r="K16" s="13">
        <f t="shared" si="4"/>
        <v>0.77875726805685208</v>
      </c>
    </row>
    <row r="19" spans="2:11" x14ac:dyDescent="0.35">
      <c r="B19" s="16" t="s">
        <v>24</v>
      </c>
      <c r="C19" s="16"/>
      <c r="D19" s="3"/>
      <c r="E19" s="3"/>
      <c r="G19" s="16" t="s">
        <v>28</v>
      </c>
      <c r="H19" s="3"/>
      <c r="I19" s="3"/>
      <c r="J19" s="3"/>
      <c r="K19" s="3"/>
    </row>
    <row r="21" spans="2:11" x14ac:dyDescent="0.35">
      <c r="B21" t="s">
        <v>25</v>
      </c>
      <c r="E21" s="9">
        <f>410/1478</f>
        <v>0.27740189445196212</v>
      </c>
      <c r="G21" t="s">
        <v>30</v>
      </c>
      <c r="K21" s="22">
        <v>6.769E-2</v>
      </c>
    </row>
    <row r="22" spans="2:11" x14ac:dyDescent="0.35">
      <c r="B22" t="s">
        <v>26</v>
      </c>
      <c r="E22" s="9">
        <v>0.3</v>
      </c>
      <c r="G22" t="s">
        <v>29</v>
      </c>
      <c r="K22" s="4">
        <f>'DCF&gt;'!F6-WACC!K21</f>
        <v>9.6802307692307715E-2</v>
      </c>
    </row>
    <row r="23" spans="2:11" ht="16.5" x14ac:dyDescent="0.35">
      <c r="B23" s="14" t="s">
        <v>27</v>
      </c>
      <c r="C23" s="14"/>
      <c r="D23" s="14"/>
      <c r="E23" s="19">
        <f>IFERROR(E21*(1-E22),0)</f>
        <v>0.19418132611637348</v>
      </c>
      <c r="G23" t="s">
        <v>31</v>
      </c>
      <c r="K23" s="8">
        <f>K32</f>
        <v>0.78458542063675241</v>
      </c>
    </row>
    <row r="24" spans="2:11" x14ac:dyDescent="0.35">
      <c r="G24" s="14" t="s">
        <v>28</v>
      </c>
      <c r="H24" s="14"/>
      <c r="I24" s="14"/>
      <c r="J24" s="14"/>
      <c r="K24" s="26">
        <f>K21+(K22*K23)</f>
        <v>0.1436396792993776</v>
      </c>
    </row>
    <row r="27" spans="2:11" x14ac:dyDescent="0.35">
      <c r="B27" s="16" t="s">
        <v>32</v>
      </c>
      <c r="C27" s="16"/>
      <c r="D27" s="3"/>
      <c r="E27" s="3"/>
      <c r="G27" s="16" t="s">
        <v>38</v>
      </c>
      <c r="H27" s="3"/>
      <c r="I27" s="3"/>
      <c r="J27" s="3"/>
      <c r="K27" s="3"/>
    </row>
    <row r="29" spans="2:11" x14ac:dyDescent="0.35">
      <c r="D29" s="18" t="s">
        <v>33</v>
      </c>
      <c r="E29" s="18" t="s">
        <v>34</v>
      </c>
      <c r="G29" t="s">
        <v>39</v>
      </c>
      <c r="K29" s="8">
        <f>K16</f>
        <v>0.77875726805685208</v>
      </c>
    </row>
    <row r="30" spans="2:11" x14ac:dyDescent="0.35">
      <c r="B30" t="s">
        <v>35</v>
      </c>
      <c r="C30" s="27">
        <f>E9</f>
        <v>1478</v>
      </c>
      <c r="D30" s="6">
        <f>IFERROR(C30/$C$32,0)</f>
        <v>2.8811815916746563E-3</v>
      </c>
      <c r="E30" s="22">
        <f>I16</f>
        <v>1.0578211113743206E-2</v>
      </c>
      <c r="G30" t="s">
        <v>40</v>
      </c>
      <c r="K30" s="4">
        <f>E34</f>
        <v>1.0691306005753701E-2</v>
      </c>
    </row>
    <row r="31" spans="2:11" x14ac:dyDescent="0.35">
      <c r="B31" t="s">
        <v>36</v>
      </c>
      <c r="C31" s="27">
        <f>F9</f>
        <v>511505.98</v>
      </c>
      <c r="D31" s="6">
        <f>IFERROR(C31/$C$32,0)</f>
        <v>0.99711881840832539</v>
      </c>
      <c r="E31" s="4">
        <f>E32-E30</f>
        <v>0.98942178888625676</v>
      </c>
      <c r="G31" t="s">
        <v>7</v>
      </c>
      <c r="K31" s="4">
        <f>E22</f>
        <v>0.3</v>
      </c>
    </row>
    <row r="32" spans="2:11" x14ac:dyDescent="0.35">
      <c r="B32" s="14" t="s">
        <v>37</v>
      </c>
      <c r="C32" s="28">
        <f>IFERROR(SUM(C30:C31),0)</f>
        <v>512983.98</v>
      </c>
      <c r="D32" s="15">
        <f>IFERROR(C32/$C$32,0)</f>
        <v>1</v>
      </c>
      <c r="E32" s="23">
        <f>D32</f>
        <v>1</v>
      </c>
      <c r="G32" s="14" t="s">
        <v>38</v>
      </c>
      <c r="H32" s="14"/>
      <c r="I32" s="14"/>
      <c r="J32" s="14"/>
      <c r="K32" s="25">
        <f>K29*(1+(K30*(1-K31)))</f>
        <v>0.78458542063675241</v>
      </c>
    </row>
    <row r="34" spans="2:13" x14ac:dyDescent="0.35">
      <c r="B34" t="s">
        <v>41</v>
      </c>
      <c r="D34" s="24">
        <f>IFERROR(D30/D31,0)</f>
        <v>2.8895067854338673E-3</v>
      </c>
      <c r="E34" s="24">
        <f>IFERROR(E30/E31,0)</f>
        <v>1.0691306005753701E-2</v>
      </c>
      <c r="G34" s="16" t="s">
        <v>42</v>
      </c>
      <c r="H34" s="3"/>
      <c r="I34" s="3"/>
      <c r="J34" s="3"/>
      <c r="K34" s="3"/>
    </row>
    <row r="36" spans="2:13" x14ac:dyDescent="0.35">
      <c r="J36" s="18" t="s">
        <v>44</v>
      </c>
      <c r="K36" s="18" t="s">
        <v>45</v>
      </c>
    </row>
    <row r="37" spans="2:13" x14ac:dyDescent="0.35">
      <c r="G37" t="s">
        <v>43</v>
      </c>
      <c r="J37" s="4">
        <f>E23</f>
        <v>0.19418132611637348</v>
      </c>
      <c r="K37" s="4">
        <f>E30</f>
        <v>1.0578211113743206E-2</v>
      </c>
      <c r="M37" s="4"/>
    </row>
    <row r="38" spans="2:13" x14ac:dyDescent="0.35">
      <c r="G38" t="s">
        <v>10</v>
      </c>
      <c r="J38" s="4">
        <f>K24</f>
        <v>0.1436396792993776</v>
      </c>
      <c r="K38" s="4">
        <f>E31</f>
        <v>0.98942178888625676</v>
      </c>
    </row>
    <row r="39" spans="2:13" x14ac:dyDescent="0.35">
      <c r="G39" s="2" t="s">
        <v>46</v>
      </c>
      <c r="H39" s="2"/>
      <c r="I39" s="2"/>
      <c r="J39" s="2"/>
      <c r="K39" s="26">
        <f>SUMPRODUCT(J37:J38,K37:K38)</f>
        <v>0.14417431950944401</v>
      </c>
    </row>
    <row r="41" spans="2:13" x14ac:dyDescent="0.35">
      <c r="B41" s="30" t="s">
        <v>47</v>
      </c>
      <c r="C41" s="31"/>
      <c r="D41" s="31"/>
    </row>
    <row r="42" spans="2:13" x14ac:dyDescent="0.35">
      <c r="B42" s="30" t="s">
        <v>48</v>
      </c>
      <c r="C42" s="30"/>
      <c r="D42" s="30"/>
      <c r="E42" s="29"/>
    </row>
    <row r="43" spans="2:13" x14ac:dyDescent="0.35">
      <c r="B43" s="30" t="s">
        <v>49</v>
      </c>
      <c r="C43" s="30"/>
      <c r="D43" s="30"/>
      <c r="E43" s="29"/>
    </row>
    <row r="44" spans="2:13" x14ac:dyDescent="0.35">
      <c r="B44" s="30" t="s">
        <v>50</v>
      </c>
      <c r="C44" s="30"/>
      <c r="D44" s="30"/>
      <c r="E44" s="29"/>
    </row>
    <row r="45" spans="2:13" x14ac:dyDescent="0.35">
      <c r="B45" s="30" t="s">
        <v>51</v>
      </c>
      <c r="C45" s="30"/>
      <c r="D45" s="30"/>
      <c r="E45" s="29"/>
    </row>
  </sheetData>
  <pageMargins left="0.7" right="0.7" top="0.75" bottom="0.75" header="0.3" footer="0.3"/>
  <ignoredErrors>
    <ignoredError sqref="I9:I11 I12:I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70CE-D240-4368-9FF9-33B03C94DFEC}">
  <sheetPr>
    <tabColor rgb="FF002060"/>
  </sheetPr>
  <dimension ref="B2:T111"/>
  <sheetViews>
    <sheetView showGridLines="0" workbookViewId="0">
      <selection activeCell="J10" sqref="J10"/>
    </sheetView>
  </sheetViews>
  <sheetFormatPr defaultRowHeight="14.5" x14ac:dyDescent="0.35"/>
  <cols>
    <col min="1" max="1" width="1.81640625" customWidth="1"/>
    <col min="2" max="2" width="14.1796875" bestFit="1" customWidth="1"/>
    <col min="3" max="3" width="14.6328125" bestFit="1" customWidth="1"/>
    <col min="4" max="4" width="13.36328125" bestFit="1" customWidth="1"/>
    <col min="6" max="6" width="14.6328125" bestFit="1" customWidth="1"/>
    <col min="7" max="7" width="12.08984375" customWidth="1"/>
    <col min="8" max="8" width="10.54296875" customWidth="1"/>
    <col min="9" max="9" width="17.08984375" bestFit="1" customWidth="1"/>
    <col min="10" max="10" width="12.08984375" customWidth="1"/>
    <col min="12" max="12" width="16.453125" bestFit="1" customWidth="1"/>
    <col min="13" max="13" width="12.453125" bestFit="1" customWidth="1"/>
    <col min="14" max="14" width="13" bestFit="1" customWidth="1"/>
    <col min="15" max="15" width="12.453125" bestFit="1" customWidth="1"/>
    <col min="16" max="16" width="11.81640625" bestFit="1" customWidth="1"/>
    <col min="17" max="17" width="12.7265625" bestFit="1" customWidth="1"/>
    <col min="18" max="18" width="11.81640625" bestFit="1" customWidth="1"/>
    <col min="19" max="19" width="12.453125" bestFit="1" customWidth="1"/>
    <col min="20" max="20" width="12" bestFit="1" customWidth="1"/>
  </cols>
  <sheetData>
    <row r="2" spans="2:17" x14ac:dyDescent="0.35">
      <c r="B2" s="38" t="s">
        <v>88</v>
      </c>
      <c r="C2" s="39"/>
      <c r="D2" s="39"/>
      <c r="E2" s="39"/>
    </row>
    <row r="3" spans="2:17" x14ac:dyDescent="0.35">
      <c r="B3" s="17"/>
    </row>
    <row r="4" spans="2:17" x14ac:dyDescent="0.35">
      <c r="B4" s="68" t="s">
        <v>54</v>
      </c>
      <c r="C4" s="68"/>
      <c r="D4" s="68"/>
      <c r="E4" s="40"/>
      <c r="F4" s="68" t="s">
        <v>56</v>
      </c>
      <c r="G4" s="68"/>
      <c r="I4" s="68" t="s">
        <v>82</v>
      </c>
      <c r="J4" s="68"/>
      <c r="K4" s="40"/>
      <c r="L4" t="s">
        <v>57</v>
      </c>
    </row>
    <row r="5" spans="2:17" ht="15" thickBot="1" x14ac:dyDescent="0.4">
      <c r="B5" s="17"/>
      <c r="C5" s="17"/>
    </row>
    <row r="6" spans="2:17" x14ac:dyDescent="0.35">
      <c r="B6" s="36" t="s">
        <v>52</v>
      </c>
      <c r="C6" s="37" t="s">
        <v>53</v>
      </c>
      <c r="D6" s="18" t="s">
        <v>55</v>
      </c>
      <c r="F6" s="37" t="s">
        <v>53</v>
      </c>
      <c r="G6" s="18" t="s">
        <v>55</v>
      </c>
      <c r="H6" s="45"/>
      <c r="I6" t="s">
        <v>83</v>
      </c>
      <c r="J6" s="46">
        <f>M21</f>
        <v>0.56045174300658407</v>
      </c>
      <c r="L6" s="44" t="s">
        <v>58</v>
      </c>
      <c r="M6" s="44"/>
    </row>
    <row r="7" spans="2:17" x14ac:dyDescent="0.35">
      <c r="B7" s="32">
        <v>45495</v>
      </c>
      <c r="C7" s="33">
        <v>2604.800048828125</v>
      </c>
      <c r="F7" s="41">
        <v>24834.849609375</v>
      </c>
      <c r="I7" t="s">
        <v>84</v>
      </c>
      <c r="J7" s="47">
        <v>0.75</v>
      </c>
      <c r="L7" t="s">
        <v>59</v>
      </c>
      <c r="M7">
        <v>0.38284711866069143</v>
      </c>
    </row>
    <row r="8" spans="2:17" x14ac:dyDescent="0.35">
      <c r="B8" s="32">
        <v>45502</v>
      </c>
      <c r="C8" s="33">
        <v>2587.02490234375</v>
      </c>
      <c r="D8" s="6">
        <f>IFERROR(C8/C7-1,0)</f>
        <v>-6.8239965260948887E-3</v>
      </c>
      <c r="F8" s="41">
        <v>24717.69921875</v>
      </c>
      <c r="G8" s="6">
        <f>IFERROR(F8/F7-1,0)</f>
        <v>-4.7171773724281607E-3</v>
      </c>
      <c r="H8" s="6"/>
      <c r="I8" s="6"/>
      <c r="J8" s="48"/>
      <c r="L8" t="s">
        <v>60</v>
      </c>
      <c r="M8">
        <v>0.14657191626679356</v>
      </c>
    </row>
    <row r="9" spans="2:17" x14ac:dyDescent="0.35">
      <c r="B9" s="32">
        <v>45509</v>
      </c>
      <c r="C9" s="33">
        <v>2639.533203125</v>
      </c>
      <c r="D9" s="6">
        <f t="shared" ref="D9:D72" si="0">IFERROR(C9/C8-1,0)</f>
        <v>2.0296789850642538E-2</v>
      </c>
      <c r="F9" s="41">
        <v>24367.5</v>
      </c>
      <c r="G9" s="6">
        <f t="shared" ref="G9:G72" si="1">IFERROR(F9/F8-1,0)</f>
        <v>-1.4167953726225035E-2</v>
      </c>
      <c r="H9" s="6"/>
      <c r="I9" s="6"/>
      <c r="J9" s="47"/>
      <c r="L9" t="s">
        <v>61</v>
      </c>
      <c r="M9">
        <v>0.13820497426940917</v>
      </c>
    </row>
    <row r="10" spans="2:17" x14ac:dyDescent="0.35">
      <c r="B10" s="32">
        <v>45516</v>
      </c>
      <c r="C10" s="33">
        <v>2640.5419921875</v>
      </c>
      <c r="D10" s="6">
        <f t="shared" si="0"/>
        <v>3.8218464587069789E-4</v>
      </c>
      <c r="F10" s="41">
        <v>24541.150390625</v>
      </c>
      <c r="G10" s="6">
        <f t="shared" si="1"/>
        <v>7.126311300913013E-3</v>
      </c>
      <c r="H10" s="6"/>
      <c r="I10" s="6" t="s">
        <v>85</v>
      </c>
      <c r="J10" s="48">
        <v>1</v>
      </c>
      <c r="L10" t="s">
        <v>62</v>
      </c>
      <c r="M10">
        <v>2.5047411379131898E-2</v>
      </c>
    </row>
    <row r="11" spans="2:17" ht="15" thickBot="1" x14ac:dyDescent="0.4">
      <c r="B11" s="32">
        <v>45523</v>
      </c>
      <c r="C11" s="33">
        <v>2705.252685546875</v>
      </c>
      <c r="D11" s="6">
        <f t="shared" si="0"/>
        <v>2.4506595066782877E-2</v>
      </c>
      <c r="F11" s="41">
        <v>24823.150390625</v>
      </c>
      <c r="G11" s="6">
        <f t="shared" si="1"/>
        <v>1.1490903870086111E-2</v>
      </c>
      <c r="H11" s="6"/>
      <c r="I11" s="6" t="s">
        <v>86</v>
      </c>
      <c r="J11" s="47">
        <v>0.25</v>
      </c>
      <c r="L11" s="42" t="s">
        <v>63</v>
      </c>
      <c r="M11" s="42">
        <v>104</v>
      </c>
    </row>
    <row r="12" spans="2:17" x14ac:dyDescent="0.35">
      <c r="B12" s="32">
        <v>45530</v>
      </c>
      <c r="C12" s="33">
        <v>2669.1259765625</v>
      </c>
      <c r="D12" s="6">
        <f t="shared" si="0"/>
        <v>-1.3354282643313176E-2</v>
      </c>
      <c r="F12" s="41">
        <v>25235.900390625</v>
      </c>
      <c r="G12" s="6">
        <f t="shared" si="1"/>
        <v>1.6627623549180237E-2</v>
      </c>
      <c r="H12" s="6"/>
      <c r="I12" s="6"/>
      <c r="J12" s="6"/>
    </row>
    <row r="13" spans="2:17" ht="15" thickBot="1" x14ac:dyDescent="0.4">
      <c r="B13" s="32">
        <v>45537</v>
      </c>
      <c r="C13" s="33">
        <v>2727.687255859375</v>
      </c>
      <c r="D13" s="6">
        <f t="shared" si="0"/>
        <v>2.194024553771512E-2</v>
      </c>
      <c r="F13" s="41">
        <v>24852.150390625</v>
      </c>
      <c r="G13" s="6">
        <f t="shared" si="1"/>
        <v>-1.5206511123437516E-2</v>
      </c>
      <c r="H13" s="6"/>
      <c r="I13" s="49" t="s">
        <v>87</v>
      </c>
      <c r="J13" s="50">
        <f>IFERROR((J6*J7)+(J10*J11),0)</f>
        <v>0.67033880725493811</v>
      </c>
      <c r="L13" t="s">
        <v>64</v>
      </c>
    </row>
    <row r="14" spans="2:17" x14ac:dyDescent="0.35">
      <c r="B14" s="32">
        <v>45544</v>
      </c>
      <c r="C14" s="33">
        <v>2818.00341796875</v>
      </c>
      <c r="D14" s="6">
        <f t="shared" si="0"/>
        <v>3.311089345575291E-2</v>
      </c>
      <c r="F14" s="41">
        <v>25356.5</v>
      </c>
      <c r="G14" s="6">
        <f t="shared" si="1"/>
        <v>2.0294002790408605E-2</v>
      </c>
      <c r="H14" s="6"/>
      <c r="I14" s="6"/>
      <c r="J14" s="6"/>
      <c r="L14" s="43"/>
      <c r="M14" s="43" t="s">
        <v>69</v>
      </c>
      <c r="N14" s="43" t="s">
        <v>70</v>
      </c>
      <c r="O14" s="43" t="s">
        <v>71</v>
      </c>
      <c r="P14" s="43" t="s">
        <v>72</v>
      </c>
      <c r="Q14" s="43" t="s">
        <v>73</v>
      </c>
    </row>
    <row r="15" spans="2:17" x14ac:dyDescent="0.35">
      <c r="B15" s="32">
        <v>45551</v>
      </c>
      <c r="C15" s="33">
        <v>2860.903564453125</v>
      </c>
      <c r="D15" s="6">
        <f t="shared" si="0"/>
        <v>1.5223596327394784E-2</v>
      </c>
      <c r="F15" s="41">
        <v>25790.94921875</v>
      </c>
      <c r="G15" s="6">
        <f t="shared" si="1"/>
        <v>1.7133643000808441E-2</v>
      </c>
      <c r="H15" s="6"/>
      <c r="I15" s="6"/>
      <c r="J15" s="6"/>
      <c r="L15" t="s">
        <v>65</v>
      </c>
      <c r="M15">
        <v>1</v>
      </c>
      <c r="N15">
        <v>1.099030398443708E-2</v>
      </c>
      <c r="O15">
        <v>1.099030398443708E-2</v>
      </c>
      <c r="P15">
        <v>17.5179792464934</v>
      </c>
      <c r="Q15">
        <v>6.0453759464978494E-5</v>
      </c>
    </row>
    <row r="16" spans="2:17" x14ac:dyDescent="0.35">
      <c r="B16" s="32">
        <v>45558</v>
      </c>
      <c r="C16" s="33">
        <v>2849.998291015625</v>
      </c>
      <c r="D16" s="6">
        <f t="shared" si="0"/>
        <v>-3.811828393308514E-3</v>
      </c>
      <c r="F16" s="41">
        <v>26178.94921875</v>
      </c>
      <c r="G16" s="6">
        <f t="shared" si="1"/>
        <v>1.5044037220542705E-2</v>
      </c>
      <c r="H16" s="6"/>
      <c r="I16" s="6"/>
      <c r="J16" s="6"/>
      <c r="L16" t="s">
        <v>66</v>
      </c>
      <c r="M16">
        <v>102</v>
      </c>
      <c r="N16">
        <v>6.3992027313137537E-2</v>
      </c>
      <c r="O16">
        <v>6.2737281679546607E-4</v>
      </c>
    </row>
    <row r="17" spans="2:20" ht="15" thickBot="1" x14ac:dyDescent="0.4">
      <c r="B17" s="32">
        <v>45565</v>
      </c>
      <c r="C17" s="33">
        <v>2737.103515625</v>
      </c>
      <c r="D17" s="6">
        <f t="shared" si="0"/>
        <v>-3.9612225644666599E-2</v>
      </c>
      <c r="F17" s="41">
        <v>25014.599609375</v>
      </c>
      <c r="G17" s="6">
        <f t="shared" si="1"/>
        <v>-4.4476560141728849E-2</v>
      </c>
      <c r="H17" s="6"/>
      <c r="I17" s="6"/>
      <c r="J17" s="6"/>
      <c r="L17" s="42" t="s">
        <v>67</v>
      </c>
      <c r="M17" s="42">
        <v>103</v>
      </c>
      <c r="N17" s="42">
        <v>7.4982331297574617E-2</v>
      </c>
      <c r="O17" s="42"/>
      <c r="P17" s="42"/>
      <c r="Q17" s="42"/>
    </row>
    <row r="18" spans="2:20" ht="15" thickBot="1" x14ac:dyDescent="0.4">
      <c r="B18" s="32">
        <v>45572</v>
      </c>
      <c r="C18" s="33">
        <v>2674.122314453125</v>
      </c>
      <c r="D18" s="6">
        <f t="shared" si="0"/>
        <v>-2.3010164143351219E-2</v>
      </c>
      <c r="F18" s="41">
        <v>24964.25</v>
      </c>
      <c r="G18" s="6">
        <f t="shared" si="1"/>
        <v>-2.0128089260372795E-3</v>
      </c>
      <c r="H18" s="6"/>
      <c r="I18" s="6"/>
      <c r="J18" s="6"/>
    </row>
    <row r="19" spans="2:20" x14ac:dyDescent="0.35">
      <c r="B19" s="32">
        <v>45579</v>
      </c>
      <c r="C19" s="33">
        <v>2610.61279296875</v>
      </c>
      <c r="D19" s="6">
        <f t="shared" si="0"/>
        <v>-2.3749669617249003E-2</v>
      </c>
      <c r="F19" s="41">
        <v>24854.05078125</v>
      </c>
      <c r="G19" s="6">
        <f t="shared" si="1"/>
        <v>-4.4142811720760955E-3</v>
      </c>
      <c r="H19" s="6"/>
      <c r="I19" s="6"/>
      <c r="J19" s="6"/>
      <c r="L19" s="43"/>
      <c r="M19" s="43" t="s">
        <v>74</v>
      </c>
      <c r="N19" s="43" t="s">
        <v>62</v>
      </c>
      <c r="O19" s="43" t="s">
        <v>75</v>
      </c>
      <c r="P19" s="43" t="s">
        <v>76</v>
      </c>
      <c r="Q19" s="43" t="s">
        <v>77</v>
      </c>
      <c r="R19" s="43" t="s">
        <v>78</v>
      </c>
      <c r="S19" s="43" t="s">
        <v>79</v>
      </c>
      <c r="T19" s="43" t="s">
        <v>80</v>
      </c>
    </row>
    <row r="20" spans="2:20" x14ac:dyDescent="0.35">
      <c r="B20" s="32">
        <v>45586</v>
      </c>
      <c r="C20" s="33">
        <v>2428.9716796875</v>
      </c>
      <c r="D20" s="6">
        <f t="shared" si="0"/>
        <v>-6.9577960305132192E-2</v>
      </c>
      <c r="F20" s="41">
        <v>24180.80078125</v>
      </c>
      <c r="G20" s="6">
        <f t="shared" si="1"/>
        <v>-2.7088139713140946E-2</v>
      </c>
      <c r="H20" s="6"/>
      <c r="I20" s="6"/>
      <c r="J20" s="6"/>
      <c r="L20" t="s">
        <v>68</v>
      </c>
      <c r="M20">
        <v>-1.3115824830953378E-3</v>
      </c>
      <c r="N20">
        <v>2.4562660965567564E-3</v>
      </c>
      <c r="O20">
        <v>-0.5339741019647426</v>
      </c>
      <c r="P20">
        <v>0.5945212917607442</v>
      </c>
      <c r="Q20">
        <v>-6.1835746393844203E-3</v>
      </c>
      <c r="R20">
        <v>3.5604096731937452E-3</v>
      </c>
      <c r="S20">
        <v>-6.1835746393844203E-3</v>
      </c>
      <c r="T20">
        <v>3.5604096731937452E-3</v>
      </c>
    </row>
    <row r="21" spans="2:20" ht="15" thickBot="1" x14ac:dyDescent="0.4">
      <c r="B21" s="32">
        <v>45593</v>
      </c>
      <c r="C21" s="33">
        <v>2438.051513671875</v>
      </c>
      <c r="D21" s="6">
        <f t="shared" si="0"/>
        <v>3.7381390900133038E-3</v>
      </c>
      <c r="F21" s="41">
        <v>24304.349609375</v>
      </c>
      <c r="G21" s="6">
        <f t="shared" si="1"/>
        <v>5.1093770319137199E-3</v>
      </c>
      <c r="H21" s="6"/>
      <c r="I21" s="6"/>
      <c r="J21" s="6"/>
      <c r="L21" s="42" t="s">
        <v>81</v>
      </c>
      <c r="M21" s="42">
        <v>0.56045174300658407</v>
      </c>
      <c r="N21" s="42">
        <v>0.13390482319910946</v>
      </c>
      <c r="O21" s="42">
        <v>4.1854485119869187</v>
      </c>
      <c r="P21" s="42">
        <v>6.0453759464975756E-5</v>
      </c>
      <c r="Q21" s="42">
        <v>0.29485216109244955</v>
      </c>
      <c r="R21" s="42">
        <v>0.82605132492071864</v>
      </c>
      <c r="S21" s="42">
        <v>0.29485216109244955</v>
      </c>
      <c r="T21" s="42">
        <v>0.82605132492071864</v>
      </c>
    </row>
    <row r="22" spans="2:20" x14ac:dyDescent="0.35">
      <c r="B22" s="32">
        <v>45600</v>
      </c>
      <c r="C22" s="33">
        <v>2437.45458984375</v>
      </c>
      <c r="D22" s="6">
        <f t="shared" si="0"/>
        <v>-2.4483642973804898E-4</v>
      </c>
      <c r="F22" s="41">
        <v>24148.19921875</v>
      </c>
      <c r="G22" s="6">
        <f t="shared" si="1"/>
        <v>-6.424791987223899E-3</v>
      </c>
      <c r="H22" s="6"/>
      <c r="I22" s="6"/>
      <c r="J22" s="6"/>
      <c r="M22">
        <f>SLOPE(D8:D111,G8:G111)</f>
        <v>0.56045174300658362</v>
      </c>
    </row>
    <row r="23" spans="2:20" x14ac:dyDescent="0.35">
      <c r="B23" s="32">
        <v>45607</v>
      </c>
      <c r="C23" s="33">
        <v>2322.27392578125</v>
      </c>
      <c r="D23" s="6">
        <f t="shared" si="0"/>
        <v>-4.7254486111219629E-2</v>
      </c>
      <c r="F23" s="41">
        <v>23532.69921875</v>
      </c>
      <c r="G23" s="6">
        <f t="shared" si="1"/>
        <v>-2.5488443027341434E-2</v>
      </c>
      <c r="H23" s="6"/>
      <c r="I23" s="6"/>
      <c r="J23" s="6"/>
    </row>
    <row r="24" spans="2:20" x14ac:dyDescent="0.35">
      <c r="B24" s="32">
        <v>45614</v>
      </c>
      <c r="C24" s="33">
        <v>2376.75390625</v>
      </c>
      <c r="D24" s="6">
        <f t="shared" si="0"/>
        <v>2.3459756346539518E-2</v>
      </c>
      <c r="F24" s="41">
        <v>23907.25</v>
      </c>
      <c r="G24" s="6">
        <f t="shared" si="1"/>
        <v>1.5916184444815906E-2</v>
      </c>
      <c r="H24" s="6"/>
      <c r="I24" s="6"/>
      <c r="J24" s="6"/>
    </row>
    <row r="25" spans="2:20" x14ac:dyDescent="0.35">
      <c r="B25" s="32">
        <v>45621</v>
      </c>
      <c r="C25" s="33">
        <v>2426.228271484375</v>
      </c>
      <c r="D25" s="6">
        <f t="shared" si="0"/>
        <v>2.0815939380293136E-2</v>
      </c>
      <c r="F25" s="41">
        <v>24131.099609375</v>
      </c>
      <c r="G25" s="6">
        <f t="shared" si="1"/>
        <v>9.3632521254012335E-3</v>
      </c>
      <c r="H25" s="6"/>
      <c r="I25" s="6"/>
      <c r="J25" s="6"/>
    </row>
    <row r="26" spans="2:20" x14ac:dyDescent="0.35">
      <c r="B26" s="32">
        <v>45628</v>
      </c>
      <c r="C26" s="33">
        <v>2414.22412109375</v>
      </c>
      <c r="D26" s="6">
        <f t="shared" si="0"/>
        <v>-4.9476591018704497E-3</v>
      </c>
      <c r="F26" s="41">
        <v>24677.80078125</v>
      </c>
      <c r="G26" s="6">
        <f t="shared" si="1"/>
        <v>2.2655460411037609E-2</v>
      </c>
      <c r="H26" s="6"/>
      <c r="I26" s="6"/>
      <c r="J26" s="6"/>
    </row>
    <row r="27" spans="2:20" x14ac:dyDescent="0.35">
      <c r="B27" s="32">
        <v>45635</v>
      </c>
      <c r="C27" s="33">
        <v>2323.14892578125</v>
      </c>
      <c r="D27" s="6">
        <f t="shared" si="0"/>
        <v>-3.7724416104018887E-2</v>
      </c>
      <c r="F27" s="41">
        <v>24768.30078125</v>
      </c>
      <c r="G27" s="6">
        <f t="shared" si="1"/>
        <v>3.667263578396307E-3</v>
      </c>
      <c r="H27" s="6"/>
      <c r="I27" s="6"/>
      <c r="J27" s="6"/>
    </row>
    <row r="28" spans="2:20" x14ac:dyDescent="0.35">
      <c r="B28" s="32">
        <v>45642</v>
      </c>
      <c r="C28" s="33">
        <v>2268.523193359375</v>
      </c>
      <c r="D28" s="6">
        <f t="shared" si="0"/>
        <v>-2.3513659333529335E-2</v>
      </c>
      <c r="F28" s="41">
        <v>23587.5</v>
      </c>
      <c r="G28" s="6">
        <f t="shared" si="1"/>
        <v>-4.7673871198458895E-2</v>
      </c>
      <c r="H28" s="6"/>
      <c r="I28" s="6"/>
      <c r="J28" s="6"/>
    </row>
    <row r="29" spans="2:20" x14ac:dyDescent="0.35">
      <c r="B29" s="32">
        <v>45649</v>
      </c>
      <c r="C29" s="33">
        <v>2275.667236328125</v>
      </c>
      <c r="D29" s="6">
        <f t="shared" si="0"/>
        <v>3.1492042883505267E-3</v>
      </c>
      <c r="F29" s="41">
        <v>23813.400390625</v>
      </c>
      <c r="G29" s="6">
        <f t="shared" si="1"/>
        <v>9.5771230789614137E-3</v>
      </c>
      <c r="H29" s="6"/>
      <c r="I29" s="6"/>
      <c r="J29" s="6"/>
    </row>
    <row r="30" spans="2:20" x14ac:dyDescent="0.35">
      <c r="B30" s="32">
        <v>45656</v>
      </c>
      <c r="C30" s="33">
        <v>2338.846435546875</v>
      </c>
      <c r="D30" s="6">
        <f t="shared" si="0"/>
        <v>2.7762933969507797E-2</v>
      </c>
      <c r="F30" s="41">
        <v>24004.75</v>
      </c>
      <c r="G30" s="6">
        <f t="shared" si="1"/>
        <v>8.0353753028203911E-3</v>
      </c>
      <c r="H30" s="6"/>
      <c r="I30" s="6"/>
      <c r="J30" s="6"/>
    </row>
    <row r="31" spans="2:20" x14ac:dyDescent="0.35">
      <c r="B31" s="32">
        <v>45663</v>
      </c>
      <c r="C31" s="33">
        <v>2373.6435546875</v>
      </c>
      <c r="D31" s="6">
        <f t="shared" si="0"/>
        <v>1.4877898185944316E-2</v>
      </c>
      <c r="F31" s="41">
        <v>23431.5</v>
      </c>
      <c r="G31" s="6">
        <f t="shared" si="1"/>
        <v>-2.3880690280048689E-2</v>
      </c>
      <c r="H31" s="6"/>
      <c r="I31" s="6"/>
      <c r="J31" s="6"/>
    </row>
    <row r="32" spans="2:20" x14ac:dyDescent="0.35">
      <c r="B32" s="32">
        <v>45670</v>
      </c>
      <c r="C32" s="33">
        <v>2288.060302734375</v>
      </c>
      <c r="D32" s="6">
        <f t="shared" si="0"/>
        <v>-3.6055646090633164E-2</v>
      </c>
      <c r="F32" s="41">
        <v>23203.19921875</v>
      </c>
      <c r="G32" s="6">
        <f t="shared" si="1"/>
        <v>-9.7433276252053558E-3</v>
      </c>
      <c r="H32" s="6"/>
      <c r="I32" s="6"/>
      <c r="J32" s="6"/>
    </row>
    <row r="33" spans="2:10" x14ac:dyDescent="0.35">
      <c r="B33" s="32">
        <v>45677</v>
      </c>
      <c r="C33" s="33">
        <v>2301.76513671875</v>
      </c>
      <c r="D33" s="6">
        <f t="shared" si="0"/>
        <v>5.9897171276459549E-3</v>
      </c>
      <c r="F33" s="41">
        <v>23092.19921875</v>
      </c>
      <c r="G33" s="6">
        <f t="shared" si="1"/>
        <v>-4.7838230820473893E-3</v>
      </c>
      <c r="H33" s="6"/>
      <c r="I33" s="6"/>
      <c r="J33" s="6"/>
    </row>
    <row r="34" spans="2:10" x14ac:dyDescent="0.35">
      <c r="B34" s="32">
        <v>45684</v>
      </c>
      <c r="C34" s="33">
        <v>2435.85107421875</v>
      </c>
      <c r="D34" s="6">
        <f t="shared" si="0"/>
        <v>5.8253526982837256E-2</v>
      </c>
      <c r="F34" s="41">
        <v>23482.150390625</v>
      </c>
      <c r="G34" s="6">
        <f t="shared" si="1"/>
        <v>1.688670568710382E-2</v>
      </c>
      <c r="H34" s="6"/>
      <c r="I34" s="6"/>
      <c r="J34" s="6"/>
    </row>
    <row r="35" spans="2:10" x14ac:dyDescent="0.35">
      <c r="B35" s="32">
        <v>45691</v>
      </c>
      <c r="C35" s="33">
        <v>2297.634033203125</v>
      </c>
      <c r="D35" s="6">
        <f t="shared" si="0"/>
        <v>-5.6742812595780401E-2</v>
      </c>
      <c r="F35" s="41">
        <v>23559.94921875</v>
      </c>
      <c r="G35" s="6">
        <f t="shared" si="1"/>
        <v>3.313104925691146E-3</v>
      </c>
      <c r="H35" s="6"/>
      <c r="I35" s="6"/>
      <c r="J35" s="6"/>
    </row>
    <row r="36" spans="2:10" x14ac:dyDescent="0.35">
      <c r="B36" s="32">
        <v>45698</v>
      </c>
      <c r="C36" s="33">
        <v>2253.40869140625</v>
      </c>
      <c r="D36" s="6">
        <f t="shared" si="0"/>
        <v>-1.9248209748712886E-2</v>
      </c>
      <c r="F36" s="41">
        <v>22929.25</v>
      </c>
      <c r="G36" s="6">
        <f t="shared" si="1"/>
        <v>-2.6769973606227571E-2</v>
      </c>
      <c r="H36" s="6"/>
      <c r="I36" s="6"/>
      <c r="J36" s="6"/>
    </row>
    <row r="37" spans="2:10" x14ac:dyDescent="0.35">
      <c r="B37" s="32">
        <v>45705</v>
      </c>
      <c r="C37" s="33">
        <v>2178.857177734375</v>
      </c>
      <c r="D37" s="6">
        <f t="shared" si="0"/>
        <v>-3.3083884852396994E-2</v>
      </c>
      <c r="F37" s="41">
        <v>22795.900390625</v>
      </c>
      <c r="G37" s="6">
        <f t="shared" si="1"/>
        <v>-5.8156986981693359E-3</v>
      </c>
      <c r="H37" s="6"/>
      <c r="I37" s="6"/>
      <c r="J37" s="6"/>
    </row>
    <row r="38" spans="2:10" x14ac:dyDescent="0.35">
      <c r="B38" s="32">
        <v>45712</v>
      </c>
      <c r="C38" s="33">
        <v>2128.89697265625</v>
      </c>
      <c r="D38" s="6">
        <f t="shared" si="0"/>
        <v>-2.2929545630005377E-2</v>
      </c>
      <c r="F38" s="41">
        <v>22124.69921875</v>
      </c>
      <c r="G38" s="6">
        <f t="shared" si="1"/>
        <v>-2.9443942128780209E-2</v>
      </c>
      <c r="H38" s="6"/>
      <c r="I38" s="6"/>
      <c r="J38" s="6"/>
    </row>
    <row r="39" spans="2:10" x14ac:dyDescent="0.35">
      <c r="B39" s="32">
        <v>45719</v>
      </c>
      <c r="C39" s="33">
        <v>2142.79638671875</v>
      </c>
      <c r="D39" s="6">
        <f t="shared" si="0"/>
        <v>6.5289275343172193E-3</v>
      </c>
      <c r="F39" s="41">
        <v>22552.5</v>
      </c>
      <c r="G39" s="6">
        <f t="shared" si="1"/>
        <v>1.9335891395416249E-2</v>
      </c>
      <c r="H39" s="6"/>
      <c r="I39" s="6"/>
      <c r="J39" s="6"/>
    </row>
    <row r="40" spans="2:10" x14ac:dyDescent="0.35">
      <c r="B40" s="32">
        <v>45726</v>
      </c>
      <c r="C40" s="33">
        <v>2113.879638671875</v>
      </c>
      <c r="D40" s="6">
        <f t="shared" si="0"/>
        <v>-1.3494865039956006E-2</v>
      </c>
      <c r="F40" s="41">
        <v>22397.19921875</v>
      </c>
      <c r="G40" s="6">
        <f t="shared" si="1"/>
        <v>-6.8861891697150623E-3</v>
      </c>
      <c r="H40" s="6"/>
      <c r="I40" s="6"/>
      <c r="J40" s="6"/>
    </row>
    <row r="41" spans="2:10" x14ac:dyDescent="0.35">
      <c r="B41" s="32">
        <v>45733</v>
      </c>
      <c r="C41" s="33">
        <v>2183.27978515625</v>
      </c>
      <c r="D41" s="6">
        <f t="shared" si="0"/>
        <v>3.283069916316439E-2</v>
      </c>
      <c r="F41" s="41">
        <v>23350.400390625</v>
      </c>
      <c r="G41" s="6">
        <f t="shared" si="1"/>
        <v>4.2558945096895062E-2</v>
      </c>
      <c r="H41" s="6"/>
      <c r="I41" s="6"/>
      <c r="J41" s="6"/>
    </row>
    <row r="42" spans="2:10" x14ac:dyDescent="0.35">
      <c r="B42" s="32">
        <v>45740</v>
      </c>
      <c r="C42" s="33">
        <v>2195.575439453125</v>
      </c>
      <c r="D42" s="6">
        <f t="shared" si="0"/>
        <v>5.631735511165914E-3</v>
      </c>
      <c r="F42" s="41">
        <v>23519.349609375</v>
      </c>
      <c r="G42" s="6">
        <f t="shared" si="1"/>
        <v>7.2353885125597817E-3</v>
      </c>
      <c r="H42" s="6"/>
      <c r="I42" s="6"/>
      <c r="J42" s="6"/>
    </row>
    <row r="43" spans="2:10" x14ac:dyDescent="0.35">
      <c r="B43" s="32">
        <v>45747</v>
      </c>
      <c r="C43" s="33">
        <v>2181.676025390625</v>
      </c>
      <c r="D43" s="6">
        <f t="shared" si="0"/>
        <v>-6.3306474524792433E-3</v>
      </c>
      <c r="F43" s="41">
        <v>22904.44921875</v>
      </c>
      <c r="G43" s="6">
        <f t="shared" si="1"/>
        <v>-2.6144447054772924E-2</v>
      </c>
      <c r="H43" s="6"/>
      <c r="I43" s="6"/>
      <c r="J43" s="6"/>
    </row>
    <row r="44" spans="2:10" x14ac:dyDescent="0.35">
      <c r="B44" s="32">
        <v>45754</v>
      </c>
      <c r="C44" s="33">
        <v>2299.869384765625</v>
      </c>
      <c r="D44" s="6">
        <f t="shared" si="0"/>
        <v>5.4175486185597865E-2</v>
      </c>
      <c r="F44" s="41">
        <v>22828.55078125</v>
      </c>
      <c r="G44" s="6">
        <f t="shared" si="1"/>
        <v>-3.3136984336592512E-3</v>
      </c>
      <c r="H44" s="6"/>
      <c r="I44" s="6"/>
      <c r="J44" s="6"/>
    </row>
    <row r="45" spans="2:10" x14ac:dyDescent="0.35">
      <c r="B45" s="32">
        <v>45761</v>
      </c>
      <c r="C45" s="33">
        <v>2308.4716796875</v>
      </c>
      <c r="D45" s="6">
        <f t="shared" si="0"/>
        <v>3.7403406379756809E-3</v>
      </c>
      <c r="F45" s="41">
        <v>23851.650390625</v>
      </c>
      <c r="G45" s="6">
        <f t="shared" si="1"/>
        <v>4.4816669230502093E-2</v>
      </c>
      <c r="H45" s="6"/>
      <c r="I45" s="6"/>
      <c r="J45" s="6"/>
    </row>
    <row r="46" spans="2:10" x14ac:dyDescent="0.35">
      <c r="B46" s="32">
        <v>45768</v>
      </c>
      <c r="C46" s="33">
        <v>2266.870849609375</v>
      </c>
      <c r="D46" s="6">
        <f t="shared" si="0"/>
        <v>-1.8020940193538171E-2</v>
      </c>
      <c r="F46" s="41">
        <v>24039.349609375</v>
      </c>
      <c r="G46" s="6">
        <f t="shared" si="1"/>
        <v>7.8694436517390276E-3</v>
      </c>
      <c r="H46" s="6"/>
      <c r="I46" s="6"/>
      <c r="J46" s="6"/>
    </row>
    <row r="47" spans="2:10" x14ac:dyDescent="0.35">
      <c r="B47" s="32">
        <v>45775</v>
      </c>
      <c r="C47" s="33">
        <v>2253.65185546875</v>
      </c>
      <c r="D47" s="6">
        <f t="shared" si="0"/>
        <v>-5.8313838844867849E-3</v>
      </c>
      <c r="F47" s="41">
        <v>24346.69921875</v>
      </c>
      <c r="G47" s="6">
        <f t="shared" si="1"/>
        <v>1.2785271414129218E-2</v>
      </c>
      <c r="H47" s="6"/>
      <c r="I47" s="6"/>
      <c r="J47" s="6"/>
    </row>
    <row r="48" spans="2:10" x14ac:dyDescent="0.35">
      <c r="B48" s="32">
        <v>45782</v>
      </c>
      <c r="C48" s="33">
        <v>2267.551025390625</v>
      </c>
      <c r="D48" s="6">
        <f t="shared" si="0"/>
        <v>6.1673988766930421E-3</v>
      </c>
      <c r="F48" s="41">
        <v>24008</v>
      </c>
      <c r="G48" s="6">
        <f t="shared" si="1"/>
        <v>-1.391150462355728E-2</v>
      </c>
      <c r="H48" s="6"/>
      <c r="I48" s="6"/>
      <c r="J48" s="6"/>
    </row>
    <row r="49" spans="2:10" x14ac:dyDescent="0.35">
      <c r="B49" s="32">
        <v>45789</v>
      </c>
      <c r="C49" s="33">
        <v>2314.692626953125</v>
      </c>
      <c r="D49" s="6">
        <f t="shared" si="0"/>
        <v>2.0789654139923508E-2</v>
      </c>
      <c r="F49" s="41">
        <v>25019.80078125</v>
      </c>
      <c r="G49" s="6">
        <f t="shared" si="1"/>
        <v>4.2144317779490237E-2</v>
      </c>
      <c r="H49" s="6"/>
      <c r="I49" s="6"/>
      <c r="J49" s="6"/>
    </row>
    <row r="50" spans="2:10" x14ac:dyDescent="0.35">
      <c r="B50" s="32">
        <v>45796</v>
      </c>
      <c r="C50" s="33">
        <v>2293.1142578125</v>
      </c>
      <c r="D50" s="6">
        <f t="shared" si="0"/>
        <v>-9.3223475503220188E-3</v>
      </c>
      <c r="F50" s="41">
        <v>24853.150390625</v>
      </c>
      <c r="G50" s="6">
        <f t="shared" si="1"/>
        <v>-6.6607401106841824E-3</v>
      </c>
      <c r="H50" s="6"/>
      <c r="I50" s="6"/>
      <c r="J50" s="6"/>
    </row>
    <row r="51" spans="2:10" x14ac:dyDescent="0.35">
      <c r="B51" s="32">
        <v>45803</v>
      </c>
      <c r="C51" s="33">
        <v>2282.519775390625</v>
      </c>
      <c r="D51" s="6">
        <f t="shared" si="0"/>
        <v>-4.6201284501111717E-3</v>
      </c>
      <c r="F51" s="41">
        <v>24750.69921875</v>
      </c>
      <c r="G51" s="6">
        <f t="shared" si="1"/>
        <v>-4.1222609715364511E-3</v>
      </c>
      <c r="H51" s="6"/>
      <c r="I51" s="6"/>
      <c r="J51" s="6"/>
    </row>
    <row r="52" spans="2:10" x14ac:dyDescent="0.35">
      <c r="B52" s="32">
        <v>45810</v>
      </c>
      <c r="C52" s="33">
        <v>2322.857177734375</v>
      </c>
      <c r="D52" s="6">
        <f t="shared" si="0"/>
        <v>1.7672312318453676E-2</v>
      </c>
      <c r="F52" s="41">
        <v>25003.05078125</v>
      </c>
      <c r="G52" s="6">
        <f t="shared" si="1"/>
        <v>1.0195734684894431E-2</v>
      </c>
      <c r="H52" s="6"/>
      <c r="I52" s="6"/>
      <c r="J52" s="6"/>
    </row>
    <row r="53" spans="2:10" x14ac:dyDescent="0.35">
      <c r="B53" s="32">
        <v>45817</v>
      </c>
      <c r="C53" s="33">
        <v>2254.04052734375</v>
      </c>
      <c r="D53" s="6">
        <f t="shared" si="0"/>
        <v>-2.9625863806980179E-2</v>
      </c>
      <c r="F53" s="41">
        <v>24718.599609375</v>
      </c>
      <c r="G53" s="6">
        <f t="shared" si="1"/>
        <v>-1.1376658567134212E-2</v>
      </c>
      <c r="H53" s="6"/>
      <c r="I53" s="6"/>
      <c r="J53" s="6"/>
    </row>
    <row r="54" spans="2:10" x14ac:dyDescent="0.35">
      <c r="B54" s="32">
        <v>45824</v>
      </c>
      <c r="C54" s="33">
        <v>2241.59912109375</v>
      </c>
      <c r="D54" s="6">
        <f t="shared" si="0"/>
        <v>-5.5196018434776617E-3</v>
      </c>
      <c r="F54" s="41">
        <v>25112.400390625</v>
      </c>
      <c r="G54" s="6">
        <f t="shared" si="1"/>
        <v>1.5931354828881306E-2</v>
      </c>
      <c r="H54" s="6"/>
      <c r="I54" s="6"/>
      <c r="J54" s="6"/>
    </row>
    <row r="55" spans="2:10" x14ac:dyDescent="0.35">
      <c r="B55" s="32">
        <v>45831</v>
      </c>
      <c r="C55" s="33">
        <v>2265.859375</v>
      </c>
      <c r="D55" s="6">
        <f t="shared" si="0"/>
        <v>1.0822744208791812E-2</v>
      </c>
      <c r="F55" s="41">
        <v>25637.80078125</v>
      </c>
      <c r="G55" s="6">
        <f t="shared" si="1"/>
        <v>2.092195020995069E-2</v>
      </c>
      <c r="H55" s="6"/>
      <c r="I55" s="6"/>
      <c r="J55" s="6"/>
    </row>
    <row r="56" spans="2:10" x14ac:dyDescent="0.35">
      <c r="B56" s="32">
        <v>45838</v>
      </c>
      <c r="C56" s="33">
        <v>2297.683349609375</v>
      </c>
      <c r="D56" s="6">
        <f t="shared" si="0"/>
        <v>1.4044991035410126E-2</v>
      </c>
      <c r="F56" s="41">
        <v>25461</v>
      </c>
      <c r="G56" s="6">
        <f t="shared" si="1"/>
        <v>-6.896097787736255E-3</v>
      </c>
      <c r="H56" s="6"/>
      <c r="I56" s="6"/>
      <c r="J56" s="6"/>
    </row>
    <row r="57" spans="2:10" x14ac:dyDescent="0.35">
      <c r="B57" s="32">
        <v>45845</v>
      </c>
      <c r="C57" s="33">
        <v>2474.77587890625</v>
      </c>
      <c r="D57" s="6">
        <f t="shared" si="0"/>
        <v>7.7074384217034053E-2</v>
      </c>
      <c r="F57" s="41">
        <v>25149.849609375</v>
      </c>
      <c r="G57" s="6">
        <f t="shared" si="1"/>
        <v>-1.2220666534111024E-2</v>
      </c>
      <c r="H57" s="6"/>
      <c r="I57" s="6"/>
      <c r="J57" s="6"/>
    </row>
    <row r="58" spans="2:10" x14ac:dyDescent="0.35">
      <c r="B58" s="32">
        <v>45852</v>
      </c>
      <c r="C58" s="33">
        <v>2445.309326171875</v>
      </c>
      <c r="D58" s="6">
        <f t="shared" si="0"/>
        <v>-1.1906756076593861E-2</v>
      </c>
      <c r="F58" s="41">
        <v>24968.400390625</v>
      </c>
      <c r="G58" s="6">
        <f t="shared" si="1"/>
        <v>-7.2147238082235221E-3</v>
      </c>
      <c r="H58" s="6"/>
      <c r="I58" s="6"/>
      <c r="J58" s="6"/>
    </row>
    <row r="59" spans="2:10" x14ac:dyDescent="0.35">
      <c r="B59" s="32">
        <v>45859</v>
      </c>
      <c r="C59" s="33">
        <v>2372.42919921875</v>
      </c>
      <c r="D59" s="6">
        <f t="shared" si="0"/>
        <v>-2.9804052261649283E-2</v>
      </c>
      <c r="F59" s="41">
        <v>24837</v>
      </c>
      <c r="G59" s="6">
        <f t="shared" si="1"/>
        <v>-5.2626675545597301E-3</v>
      </c>
      <c r="H59" s="6"/>
      <c r="I59" s="6"/>
      <c r="J59" s="6"/>
    </row>
    <row r="60" spans="2:10" x14ac:dyDescent="0.35">
      <c r="B60" s="32">
        <v>45866</v>
      </c>
      <c r="C60" s="33">
        <v>2508.268798828125</v>
      </c>
      <c r="D60" s="6">
        <f t="shared" si="0"/>
        <v>5.7257598942934695E-2</v>
      </c>
      <c r="F60" s="41">
        <v>24565.349609375</v>
      </c>
      <c r="G60" s="6">
        <f t="shared" si="1"/>
        <v>-1.0937326997020547E-2</v>
      </c>
      <c r="H60" s="6"/>
      <c r="I60" s="6"/>
      <c r="J60" s="6"/>
    </row>
    <row r="61" spans="2:10" x14ac:dyDescent="0.35">
      <c r="B61" s="32">
        <v>45873</v>
      </c>
      <c r="C61" s="33">
        <v>2454.1494140625</v>
      </c>
      <c r="D61" s="6">
        <f t="shared" si="0"/>
        <v>-2.1576389576312471E-2</v>
      </c>
      <c r="F61" s="41">
        <v>24363.30078125</v>
      </c>
      <c r="G61" s="6">
        <f t="shared" si="1"/>
        <v>-8.2249522737462E-3</v>
      </c>
      <c r="H61" s="6"/>
      <c r="I61" s="6"/>
      <c r="J61" s="6"/>
    </row>
    <row r="62" spans="2:10" x14ac:dyDescent="0.35">
      <c r="B62" s="32">
        <v>45880</v>
      </c>
      <c r="C62" s="33">
        <v>2436.469482421875</v>
      </c>
      <c r="D62" s="6">
        <f t="shared" si="0"/>
        <v>-7.2040974927269907E-3</v>
      </c>
      <c r="F62" s="41">
        <v>24631.30078125</v>
      </c>
      <c r="G62" s="6">
        <f t="shared" si="1"/>
        <v>1.1000151515029977E-2</v>
      </c>
      <c r="H62" s="6"/>
      <c r="I62" s="6"/>
      <c r="J62" s="6"/>
    </row>
    <row r="63" spans="2:10" x14ac:dyDescent="0.35">
      <c r="B63" s="32">
        <v>45887</v>
      </c>
      <c r="C63" s="33">
        <v>2583.11328125</v>
      </c>
      <c r="D63" s="6">
        <f t="shared" si="0"/>
        <v>6.0187004141073697E-2</v>
      </c>
      <c r="F63" s="41">
        <v>24870.099609375</v>
      </c>
      <c r="G63" s="6">
        <f t="shared" si="1"/>
        <v>9.6949337043044093E-3</v>
      </c>
      <c r="H63" s="6"/>
      <c r="I63" s="6"/>
      <c r="J63" s="6"/>
    </row>
    <row r="64" spans="2:10" x14ac:dyDescent="0.35">
      <c r="B64" s="32">
        <v>45894</v>
      </c>
      <c r="C64" s="33">
        <v>2612.4814453125</v>
      </c>
      <c r="D64" s="6">
        <f t="shared" si="0"/>
        <v>1.13692900252087E-2</v>
      </c>
      <c r="F64" s="41">
        <v>24426.849609375</v>
      </c>
      <c r="G64" s="6">
        <f t="shared" si="1"/>
        <v>-1.7822606542070796E-2</v>
      </c>
      <c r="H64" s="6"/>
      <c r="I64" s="6"/>
      <c r="J64" s="6"/>
    </row>
    <row r="65" spans="2:10" x14ac:dyDescent="0.35">
      <c r="B65" s="32">
        <v>45901</v>
      </c>
      <c r="C65" s="33">
        <v>2586.551025390625</v>
      </c>
      <c r="D65" s="6">
        <f t="shared" si="0"/>
        <v>-9.9255900815683473E-3</v>
      </c>
      <c r="F65" s="41">
        <v>24741</v>
      </c>
      <c r="G65" s="6">
        <f t="shared" si="1"/>
        <v>1.2860863993874538E-2</v>
      </c>
      <c r="H65" s="6"/>
      <c r="I65" s="6"/>
      <c r="J65" s="6"/>
    </row>
    <row r="66" spans="2:10" x14ac:dyDescent="0.35">
      <c r="B66" s="32">
        <v>45908</v>
      </c>
      <c r="C66" s="33">
        <v>2534.59228515625</v>
      </c>
      <c r="D66" s="6">
        <f t="shared" si="0"/>
        <v>-2.0088039912736E-2</v>
      </c>
      <c r="F66" s="41">
        <v>25114</v>
      </c>
      <c r="G66" s="6">
        <f t="shared" si="1"/>
        <v>1.5076189321369338E-2</v>
      </c>
      <c r="H66" s="6"/>
      <c r="I66" s="6"/>
      <c r="J66" s="6"/>
    </row>
    <row r="67" spans="2:10" x14ac:dyDescent="0.35">
      <c r="B67" s="32">
        <v>45915</v>
      </c>
      <c r="C67" s="33">
        <v>2514.064208984375</v>
      </c>
      <c r="D67" s="6">
        <f t="shared" si="0"/>
        <v>-8.0991630457083463E-3</v>
      </c>
      <c r="F67" s="41">
        <v>25327.05078125</v>
      </c>
      <c r="G67" s="6">
        <f t="shared" si="1"/>
        <v>8.483347186827972E-3</v>
      </c>
      <c r="H67" s="6"/>
      <c r="I67" s="6"/>
      <c r="J67" s="6"/>
    </row>
    <row r="68" spans="2:10" x14ac:dyDescent="0.35">
      <c r="B68" s="32">
        <v>45922</v>
      </c>
      <c r="C68" s="33">
        <v>2467.1142578125</v>
      </c>
      <c r="D68" s="6">
        <f t="shared" si="0"/>
        <v>-1.867492127054371E-2</v>
      </c>
      <c r="F68" s="41">
        <v>24654.69921875</v>
      </c>
      <c r="G68" s="6">
        <f t="shared" si="1"/>
        <v>-2.6546776737138011E-2</v>
      </c>
      <c r="H68" s="6"/>
      <c r="I68" s="6"/>
      <c r="J68" s="6"/>
    </row>
    <row r="69" spans="2:10" x14ac:dyDescent="0.35">
      <c r="B69" s="32">
        <v>45929</v>
      </c>
      <c r="C69" s="33">
        <v>2499.625244140625</v>
      </c>
      <c r="D69" s="6">
        <f t="shared" si="0"/>
        <v>1.3177738414495321E-2</v>
      </c>
      <c r="F69" s="41">
        <v>24894.25</v>
      </c>
      <c r="G69" s="6">
        <f t="shared" si="1"/>
        <v>9.7162321521173656E-3</v>
      </c>
      <c r="H69" s="6"/>
      <c r="I69" s="6"/>
      <c r="J69" s="6"/>
    </row>
    <row r="70" spans="2:10" x14ac:dyDescent="0.35">
      <c r="B70" s="32">
        <v>45936</v>
      </c>
      <c r="C70" s="33">
        <v>2483.909912109375</v>
      </c>
      <c r="D70" s="6">
        <f t="shared" si="0"/>
        <v>-6.2870752598167545E-3</v>
      </c>
      <c r="F70" s="41">
        <v>25285.349609375</v>
      </c>
      <c r="G70" s="6">
        <f t="shared" si="1"/>
        <v>1.5710439534229792E-2</v>
      </c>
      <c r="H70" s="6"/>
      <c r="I70" s="6"/>
      <c r="J70" s="6"/>
    </row>
    <row r="71" spans="2:10" x14ac:dyDescent="0.35">
      <c r="B71" s="32">
        <v>45943</v>
      </c>
      <c r="C71" s="33">
        <v>2557.37939453125</v>
      </c>
      <c r="D71" s="6">
        <f t="shared" si="0"/>
        <v>2.9578159040189789E-2</v>
      </c>
      <c r="F71" s="41">
        <v>25709.849609375</v>
      </c>
      <c r="G71" s="6">
        <f t="shared" si="1"/>
        <v>1.6788377719033409E-2</v>
      </c>
      <c r="H71" s="6"/>
      <c r="I71" s="6"/>
      <c r="J71" s="6"/>
    </row>
    <row r="72" spans="2:10" x14ac:dyDescent="0.35">
      <c r="B72" s="32">
        <v>45950</v>
      </c>
      <c r="C72" s="33">
        <v>2471.632568359375</v>
      </c>
      <c r="D72" s="6">
        <f t="shared" si="0"/>
        <v>-3.3529176920420012E-2</v>
      </c>
      <c r="F72" s="41">
        <v>25795.150390625</v>
      </c>
      <c r="G72" s="6">
        <f t="shared" si="1"/>
        <v>3.3178249793766046E-3</v>
      </c>
      <c r="H72" s="6"/>
      <c r="I72" s="6"/>
      <c r="J72" s="6"/>
    </row>
    <row r="73" spans="2:10" x14ac:dyDescent="0.35">
      <c r="B73" s="32">
        <v>45957</v>
      </c>
      <c r="C73" s="33">
        <v>2421.63818359375</v>
      </c>
      <c r="D73" s="6">
        <f t="shared" ref="D73:D111" si="2">IFERROR(C73/C72-1,0)</f>
        <v>-2.0227272210938008E-2</v>
      </c>
      <c r="F73" s="41">
        <v>25722.099609375</v>
      </c>
      <c r="G73" s="6">
        <f t="shared" ref="G73:G111" si="3">IFERROR(F73/F72-1,0)</f>
        <v>-2.8319579511562054E-3</v>
      </c>
      <c r="H73" s="6"/>
      <c r="I73" s="6"/>
      <c r="J73" s="6"/>
    </row>
    <row r="74" spans="2:10" x14ac:dyDescent="0.35">
      <c r="B74" s="32">
        <v>45964</v>
      </c>
      <c r="C74" s="33">
        <v>2389.693115234375</v>
      </c>
      <c r="D74" s="6">
        <f t="shared" si="2"/>
        <v>-1.3191511669991884E-2</v>
      </c>
      <c r="F74" s="41">
        <v>25492.30078125</v>
      </c>
      <c r="G74" s="6">
        <f t="shared" si="3"/>
        <v>-8.9339063146013364E-3</v>
      </c>
      <c r="H74" s="6"/>
      <c r="I74" s="6"/>
      <c r="J74" s="6"/>
    </row>
    <row r="75" spans="2:10" x14ac:dyDescent="0.35">
      <c r="B75" s="32">
        <v>45971</v>
      </c>
      <c r="C75" s="33">
        <v>2403.255126953125</v>
      </c>
      <c r="D75" s="6">
        <f t="shared" si="2"/>
        <v>5.6752106085471432E-3</v>
      </c>
      <c r="F75" s="41">
        <v>25910.05078125</v>
      </c>
      <c r="G75" s="6">
        <f t="shared" si="3"/>
        <v>1.6387300761305124E-2</v>
      </c>
      <c r="H75" s="6"/>
      <c r="I75" s="6"/>
      <c r="J75" s="6"/>
    </row>
    <row r="76" spans="2:10" x14ac:dyDescent="0.35">
      <c r="B76" s="32">
        <v>45978</v>
      </c>
      <c r="C76" s="33">
        <v>2409.19482421875</v>
      </c>
      <c r="D76" s="6">
        <f t="shared" si="2"/>
        <v>2.4715217285962154E-3</v>
      </c>
      <c r="F76" s="41">
        <v>26068.150390625</v>
      </c>
      <c r="G76" s="6">
        <f t="shared" si="3"/>
        <v>6.1018641263879125E-3</v>
      </c>
      <c r="H76" s="6"/>
      <c r="I76" s="6"/>
      <c r="J76" s="6"/>
    </row>
    <row r="77" spans="2:10" x14ac:dyDescent="0.35">
      <c r="B77" s="32">
        <v>45985</v>
      </c>
      <c r="C77" s="33">
        <v>2441.763671875</v>
      </c>
      <c r="D77" s="6">
        <f t="shared" si="2"/>
        <v>1.3518561192663814E-2</v>
      </c>
      <c r="F77" s="41">
        <v>26202.94921875</v>
      </c>
      <c r="G77" s="6">
        <f t="shared" si="3"/>
        <v>5.1710162057940767E-3</v>
      </c>
      <c r="H77" s="6"/>
      <c r="I77" s="6"/>
      <c r="J77" s="6"/>
    </row>
    <row r="78" spans="2:10" x14ac:dyDescent="0.35">
      <c r="B78" s="32">
        <v>45992</v>
      </c>
      <c r="C78" s="33">
        <v>2315.052490234375</v>
      </c>
      <c r="D78" s="6">
        <f t="shared" si="2"/>
        <v>-5.1893302820467113E-2</v>
      </c>
      <c r="F78" s="41">
        <v>26186.44921875</v>
      </c>
      <c r="G78" s="6">
        <f t="shared" si="3"/>
        <v>-6.2970010979501723E-4</v>
      </c>
      <c r="H78" s="6"/>
      <c r="I78" s="6"/>
      <c r="J78" s="6"/>
    </row>
    <row r="79" spans="2:10" x14ac:dyDescent="0.35">
      <c r="B79" s="32">
        <v>45999</v>
      </c>
      <c r="C79" s="33">
        <v>2237.837890625</v>
      </c>
      <c r="D79" s="6">
        <f t="shared" si="2"/>
        <v>-3.3353282456916489E-2</v>
      </c>
      <c r="F79" s="41">
        <v>26046.94921875</v>
      </c>
      <c r="G79" s="6">
        <f t="shared" si="3"/>
        <v>-5.3271827285432671E-3</v>
      </c>
      <c r="H79" s="6"/>
      <c r="I79" s="6"/>
      <c r="J79" s="6"/>
    </row>
    <row r="80" spans="2:10" x14ac:dyDescent="0.35">
      <c r="B80" s="32">
        <v>46006</v>
      </c>
      <c r="C80" s="33">
        <v>2257.04248046875</v>
      </c>
      <c r="D80" s="6">
        <f t="shared" si="2"/>
        <v>8.5817609596317013E-3</v>
      </c>
      <c r="F80" s="41">
        <v>25966.400390625</v>
      </c>
      <c r="G80" s="6">
        <f t="shared" si="3"/>
        <v>-3.0924476969846904E-3</v>
      </c>
      <c r="H80" s="6"/>
      <c r="I80" s="6"/>
      <c r="J80" s="6"/>
    </row>
    <row r="81" spans="2:10" x14ac:dyDescent="0.35">
      <c r="B81" s="32">
        <v>46013</v>
      </c>
      <c r="C81" s="33">
        <v>2262.387939453125</v>
      </c>
      <c r="D81" s="6">
        <f t="shared" si="2"/>
        <v>2.3683466441735135E-3</v>
      </c>
      <c r="F81" s="41">
        <v>26042.30078125</v>
      </c>
      <c r="G81" s="6">
        <f t="shared" si="3"/>
        <v>2.9230231947130481E-3</v>
      </c>
      <c r="H81" s="6"/>
      <c r="I81" s="6"/>
      <c r="J81" s="6"/>
    </row>
    <row r="82" spans="2:10" x14ac:dyDescent="0.35">
      <c r="B82" s="32">
        <v>46020</v>
      </c>
      <c r="C82" s="33">
        <v>2324.357666015625</v>
      </c>
      <c r="D82" s="6">
        <f t="shared" si="2"/>
        <v>2.7391291069859491E-2</v>
      </c>
      <c r="F82" s="41">
        <v>26328.55078125</v>
      </c>
      <c r="G82" s="6">
        <f t="shared" si="3"/>
        <v>1.099173235131734E-2</v>
      </c>
      <c r="H82" s="6"/>
      <c r="I82" s="6"/>
      <c r="J82" s="6"/>
    </row>
    <row r="83" spans="2:10" x14ac:dyDescent="0.35">
      <c r="B83" s="32">
        <v>46027</v>
      </c>
      <c r="C83" s="33">
        <v>2348.7099609375</v>
      </c>
      <c r="D83" s="6">
        <f t="shared" si="2"/>
        <v>1.0476999851584567E-2</v>
      </c>
      <c r="F83" s="41">
        <v>25683.30078125</v>
      </c>
      <c r="G83" s="6">
        <f t="shared" si="3"/>
        <v>-2.4507615529659854E-2</v>
      </c>
      <c r="H83" s="6"/>
      <c r="I83" s="6"/>
      <c r="J83" s="6"/>
    </row>
    <row r="84" spans="2:10" x14ac:dyDescent="0.35">
      <c r="B84" s="32">
        <v>46034</v>
      </c>
      <c r="C84" s="33">
        <v>2336.6328125</v>
      </c>
      <c r="D84" s="6">
        <f t="shared" si="2"/>
        <v>-5.1420348354461742E-3</v>
      </c>
      <c r="F84" s="41">
        <v>25694.349609375</v>
      </c>
      <c r="G84" s="6">
        <f t="shared" si="3"/>
        <v>4.3019502123597952E-4</v>
      </c>
      <c r="H84" s="6"/>
      <c r="I84" s="6"/>
      <c r="J84" s="6"/>
    </row>
    <row r="85" spans="2:10" x14ac:dyDescent="0.35">
      <c r="B85" s="32">
        <v>46041</v>
      </c>
      <c r="C85" s="33">
        <v>2385.238525390625</v>
      </c>
      <c r="D85" s="6">
        <f t="shared" si="2"/>
        <v>2.0801605040640103E-2</v>
      </c>
      <c r="F85" s="41">
        <v>25048.650390625</v>
      </c>
      <c r="G85" s="6">
        <f t="shared" si="3"/>
        <v>-2.5130008292344796E-2</v>
      </c>
      <c r="H85" s="6"/>
      <c r="I85" s="6"/>
      <c r="J85" s="6"/>
    </row>
    <row r="86" spans="2:10" x14ac:dyDescent="0.35">
      <c r="B86" s="32">
        <v>46048</v>
      </c>
      <c r="C86" s="33">
        <v>2327.030517578125</v>
      </c>
      <c r="D86" s="6">
        <f t="shared" si="2"/>
        <v>-2.4403432693578253E-2</v>
      </c>
      <c r="F86" s="41">
        <v>24825.44921875</v>
      </c>
      <c r="G86" s="6">
        <f t="shared" si="3"/>
        <v>-8.9107065009194075E-3</v>
      </c>
      <c r="H86" s="6"/>
      <c r="I86" s="6"/>
      <c r="J86" s="6"/>
    </row>
    <row r="87" spans="2:10" x14ac:dyDescent="0.35">
      <c r="B87" s="32">
        <v>46055</v>
      </c>
      <c r="C87" s="33">
        <v>2399.790283203125</v>
      </c>
      <c r="D87" s="6">
        <f t="shared" si="2"/>
        <v>3.126721591117132E-2</v>
      </c>
      <c r="F87" s="41">
        <v>25693.69921875</v>
      </c>
      <c r="G87" s="6">
        <f t="shared" si="3"/>
        <v>3.4974190893763746E-2</v>
      </c>
      <c r="H87" s="6"/>
      <c r="I87" s="6"/>
      <c r="J87" s="6"/>
    </row>
    <row r="88" spans="2:10" x14ac:dyDescent="0.35">
      <c r="B88" s="32">
        <v>46062</v>
      </c>
      <c r="C88" s="33">
        <v>2281.988525390625</v>
      </c>
      <c r="D88" s="6">
        <f t="shared" si="2"/>
        <v>-4.908835519379795E-2</v>
      </c>
      <c r="F88" s="41">
        <v>25471.099609375</v>
      </c>
      <c r="G88" s="6">
        <f t="shared" si="3"/>
        <v>-8.6635874219527231E-3</v>
      </c>
      <c r="H88" s="6"/>
      <c r="I88" s="6"/>
      <c r="J88" s="6"/>
    </row>
    <row r="89" spans="2:10" x14ac:dyDescent="0.35">
      <c r="B89" s="32">
        <v>46069</v>
      </c>
      <c r="C89" s="33">
        <v>2291.195068359375</v>
      </c>
      <c r="D89" s="6">
        <f t="shared" si="2"/>
        <v>4.0344387652755387E-3</v>
      </c>
      <c r="F89" s="41">
        <v>25571.25</v>
      </c>
      <c r="G89" s="6">
        <f t="shared" si="3"/>
        <v>3.9319225381277967E-3</v>
      </c>
      <c r="H89" s="6"/>
      <c r="I89" s="6"/>
      <c r="J89" s="6"/>
    </row>
    <row r="90" spans="2:10" x14ac:dyDescent="0.35">
      <c r="B90" s="32">
        <v>46076</v>
      </c>
      <c r="C90" s="33">
        <v>2314.557373046875</v>
      </c>
      <c r="D90" s="6">
        <f t="shared" si="2"/>
        <v>1.0196558560257696E-2</v>
      </c>
      <c r="F90" s="41">
        <v>25178.650390625</v>
      </c>
      <c r="G90" s="6">
        <f t="shared" si="3"/>
        <v>-1.5353164564696709E-2</v>
      </c>
      <c r="H90" s="6"/>
      <c r="I90" s="6"/>
      <c r="J90" s="6"/>
    </row>
    <row r="91" spans="2:10" x14ac:dyDescent="0.35">
      <c r="B91" s="32">
        <v>46083</v>
      </c>
      <c r="C91" s="33">
        <v>2203.2890625</v>
      </c>
      <c r="D91" s="6">
        <f t="shared" si="2"/>
        <v>-4.8073256615973059E-2</v>
      </c>
      <c r="F91" s="41">
        <v>24450.44921875</v>
      </c>
      <c r="G91" s="6">
        <f t="shared" si="3"/>
        <v>-2.8921374282480872E-2</v>
      </c>
      <c r="H91" s="6"/>
      <c r="I91" s="6"/>
      <c r="J91" s="6"/>
    </row>
    <row r="92" spans="2:10" x14ac:dyDescent="0.35">
      <c r="B92" s="32">
        <v>46090</v>
      </c>
      <c r="C92" s="33">
        <v>2138.250732421875</v>
      </c>
      <c r="D92" s="6">
        <f t="shared" si="2"/>
        <v>-2.9518745944450919E-2</v>
      </c>
      <c r="F92" s="41">
        <v>23151.099609375</v>
      </c>
      <c r="G92" s="6">
        <f t="shared" si="3"/>
        <v>-5.3142156929312567E-2</v>
      </c>
      <c r="H92" s="6"/>
      <c r="I92" s="6"/>
      <c r="J92" s="6"/>
    </row>
    <row r="93" spans="2:10" x14ac:dyDescent="0.35">
      <c r="B93" s="32">
        <v>46097</v>
      </c>
      <c r="C93" s="33">
        <v>2061.72900390625</v>
      </c>
      <c r="D93" s="6">
        <f t="shared" si="2"/>
        <v>-3.5787069942425864E-2</v>
      </c>
      <c r="F93" s="41">
        <v>23114.5</v>
      </c>
      <c r="G93" s="6">
        <f t="shared" si="3"/>
        <v>-1.5809015551113692E-3</v>
      </c>
      <c r="H93" s="6"/>
      <c r="I93" s="6"/>
      <c r="J93" s="6"/>
    </row>
    <row r="94" spans="2:10" x14ac:dyDescent="0.35">
      <c r="B94" s="32">
        <v>46104</v>
      </c>
      <c r="C94" s="33">
        <v>2053.512451171875</v>
      </c>
      <c r="D94" s="6">
        <f t="shared" si="2"/>
        <v>-3.9852729038625245E-3</v>
      </c>
      <c r="F94" s="41">
        <v>22819.599609375</v>
      </c>
      <c r="G94" s="6">
        <f t="shared" si="3"/>
        <v>-1.2758242255943242E-2</v>
      </c>
      <c r="H94" s="6"/>
      <c r="I94" s="6"/>
      <c r="J94" s="6"/>
    </row>
    <row r="95" spans="2:10" x14ac:dyDescent="0.35">
      <c r="B95" s="32">
        <v>46111</v>
      </c>
      <c r="C95" s="33">
        <v>2044.504272460938</v>
      </c>
      <c r="D95" s="6">
        <f t="shared" si="2"/>
        <v>-4.3867173563015838E-3</v>
      </c>
      <c r="F95" s="41">
        <v>22713.099609375</v>
      </c>
      <c r="G95" s="6">
        <f t="shared" si="3"/>
        <v>-4.6670406940990672E-3</v>
      </c>
      <c r="H95" s="6"/>
      <c r="I95" s="6"/>
      <c r="J95" s="6"/>
    </row>
    <row r="96" spans="2:10" x14ac:dyDescent="0.35">
      <c r="B96" s="32">
        <v>46118</v>
      </c>
      <c r="C96" s="33">
        <v>2133.59814453125</v>
      </c>
      <c r="D96" s="6">
        <f t="shared" si="2"/>
        <v>4.3577249150509756E-2</v>
      </c>
      <c r="F96" s="41">
        <v>24050.599609375</v>
      </c>
      <c r="G96" s="6">
        <f t="shared" si="3"/>
        <v>5.888672277243634E-2</v>
      </c>
      <c r="H96" s="6"/>
      <c r="I96" s="6"/>
      <c r="J96" s="6"/>
    </row>
    <row r="97" spans="2:10" x14ac:dyDescent="0.35">
      <c r="B97" s="32">
        <v>46125</v>
      </c>
      <c r="C97" s="33">
        <v>2218.237060546875</v>
      </c>
      <c r="D97" s="6">
        <f t="shared" si="2"/>
        <v>3.9669567689008423E-2</v>
      </c>
      <c r="F97" s="41">
        <v>24353.55078125</v>
      </c>
      <c r="G97" s="6">
        <f t="shared" si="3"/>
        <v>1.2596408272370407E-2</v>
      </c>
      <c r="H97" s="6"/>
      <c r="I97" s="6"/>
      <c r="J97" s="6"/>
    </row>
    <row r="98" spans="2:10" x14ac:dyDescent="0.35">
      <c r="B98" s="32">
        <v>46132</v>
      </c>
      <c r="C98" s="33">
        <v>2303.8662109375</v>
      </c>
      <c r="D98" s="6">
        <f t="shared" si="2"/>
        <v>3.8602344137877775E-2</v>
      </c>
      <c r="F98" s="41">
        <v>23897.94921875</v>
      </c>
      <c r="G98" s="6">
        <f t="shared" si="3"/>
        <v>-1.8707808425651451E-2</v>
      </c>
      <c r="H98" s="6"/>
      <c r="I98" s="6"/>
      <c r="J98" s="6"/>
    </row>
    <row r="99" spans="2:10" x14ac:dyDescent="0.35">
      <c r="B99" s="32">
        <v>46139</v>
      </c>
      <c r="C99" s="33">
        <v>2228.2353515625</v>
      </c>
      <c r="D99" s="6">
        <f t="shared" si="2"/>
        <v>-3.2827800076213554E-2</v>
      </c>
      <c r="F99" s="41">
        <v>23997.55078125</v>
      </c>
      <c r="G99" s="6">
        <f t="shared" si="3"/>
        <v>4.1677870175509391E-3</v>
      </c>
      <c r="H99" s="6"/>
      <c r="I99" s="6"/>
      <c r="J99" s="6"/>
    </row>
    <row r="100" spans="2:10" x14ac:dyDescent="0.35">
      <c r="B100" s="32">
        <v>46146</v>
      </c>
      <c r="C100" s="33">
        <v>2264.664794921875</v>
      </c>
      <c r="D100" s="6">
        <f t="shared" si="2"/>
        <v>1.6349010589850721E-2</v>
      </c>
      <c r="F100" s="41">
        <v>24176.150390625</v>
      </c>
      <c r="G100" s="6">
        <f t="shared" si="3"/>
        <v>7.442409894369062E-3</v>
      </c>
      <c r="H100" s="6"/>
      <c r="I100" s="6"/>
      <c r="J100" s="6"/>
    </row>
    <row r="101" spans="2:10" x14ac:dyDescent="0.35">
      <c r="B101" s="32">
        <v>46153</v>
      </c>
      <c r="C101" s="33">
        <v>2249.32080078125</v>
      </c>
      <c r="D101" s="6">
        <f t="shared" si="2"/>
        <v>-6.7753930625986669E-3</v>
      </c>
      <c r="F101" s="41">
        <v>23643.5</v>
      </c>
      <c r="G101" s="6">
        <f t="shared" si="3"/>
        <v>-2.2032059778696267E-2</v>
      </c>
      <c r="H101" s="6"/>
      <c r="I101" s="6"/>
      <c r="J101" s="6"/>
    </row>
    <row r="102" spans="2:10" x14ac:dyDescent="0.35">
      <c r="B102" s="32">
        <v>46160</v>
      </c>
      <c r="C102" s="33">
        <v>2181.411865234375</v>
      </c>
      <c r="D102" s="6">
        <f t="shared" si="2"/>
        <v>-3.0190862736559576E-2</v>
      </c>
      <c r="F102" s="41">
        <v>23719.30078125</v>
      </c>
      <c r="G102" s="6">
        <f t="shared" si="3"/>
        <v>3.2059881679953328E-3</v>
      </c>
      <c r="H102" s="6"/>
      <c r="I102" s="6"/>
      <c r="J102" s="6"/>
    </row>
    <row r="103" spans="2:10" x14ac:dyDescent="0.35">
      <c r="B103" s="32">
        <v>46167</v>
      </c>
      <c r="C103" s="33">
        <v>2131.816162109375</v>
      </c>
      <c r="D103" s="6">
        <f t="shared" si="2"/>
        <v>-2.2735597947099007E-2</v>
      </c>
      <c r="F103" s="41">
        <v>23547.75</v>
      </c>
      <c r="G103" s="6">
        <f t="shared" si="3"/>
        <v>-7.2325395605932208E-3</v>
      </c>
      <c r="H103" s="6"/>
      <c r="I103" s="6"/>
      <c r="J103" s="6"/>
    </row>
    <row r="104" spans="2:10" x14ac:dyDescent="0.35">
      <c r="B104" s="32">
        <v>46174</v>
      </c>
      <c r="C104" s="33">
        <v>2100.138427734375</v>
      </c>
      <c r="D104" s="6">
        <f t="shared" si="2"/>
        <v>-1.4859505682542351E-2</v>
      </c>
      <c r="F104" s="41">
        <v>23366.69921875</v>
      </c>
      <c r="G104" s="6">
        <f t="shared" si="3"/>
        <v>-7.6886658491788218E-3</v>
      </c>
      <c r="H104" s="6"/>
      <c r="I104" s="6"/>
      <c r="J104" s="6"/>
    </row>
    <row r="105" spans="2:10" x14ac:dyDescent="0.35">
      <c r="B105" s="32">
        <v>46181</v>
      </c>
      <c r="C105" s="33">
        <v>2146.962158203125</v>
      </c>
      <c r="D105" s="6">
        <f t="shared" si="2"/>
        <v>2.2295544831901104E-2</v>
      </c>
      <c r="F105" s="41">
        <v>23622.900390625</v>
      </c>
      <c r="G105" s="6">
        <f t="shared" si="3"/>
        <v>1.0964371539024187E-2</v>
      </c>
      <c r="H105" s="6"/>
      <c r="I105" s="6"/>
      <c r="J105" s="6"/>
    </row>
    <row r="106" spans="2:10" x14ac:dyDescent="0.35">
      <c r="B106" s="32">
        <v>46188</v>
      </c>
      <c r="C106" s="33">
        <v>2172.50244140625</v>
      </c>
      <c r="D106" s="6">
        <f t="shared" si="2"/>
        <v>1.1896009953198616E-2</v>
      </c>
      <c r="F106" s="41">
        <v>24013.099609375</v>
      </c>
      <c r="G106" s="6">
        <f t="shared" si="3"/>
        <v>1.6517837026686744E-2</v>
      </c>
      <c r="H106" s="6"/>
      <c r="I106" s="6"/>
      <c r="J106" s="6"/>
    </row>
    <row r="107" spans="2:10" x14ac:dyDescent="0.35">
      <c r="B107" s="32">
        <v>46195</v>
      </c>
      <c r="C107" s="33">
        <v>2174.199951171875</v>
      </c>
      <c r="D107" s="6">
        <f t="shared" si="2"/>
        <v>7.8136149965679635E-4</v>
      </c>
      <c r="F107" s="41">
        <v>24056</v>
      </c>
      <c r="G107" s="6">
        <f t="shared" si="3"/>
        <v>1.78654115140775E-3</v>
      </c>
      <c r="H107" s="6"/>
      <c r="I107" s="6"/>
      <c r="J107" s="6"/>
    </row>
    <row r="108" spans="2:10" x14ac:dyDescent="0.35">
      <c r="B108" s="32">
        <v>46202</v>
      </c>
      <c r="C108" s="33">
        <v>2201.199951171875</v>
      </c>
      <c r="D108" s="6">
        <f t="shared" si="2"/>
        <v>1.2418361055268834E-2</v>
      </c>
      <c r="F108" s="41">
        <v>24270.849609375</v>
      </c>
      <c r="G108" s="6">
        <f t="shared" si="3"/>
        <v>8.9312275263966345E-3</v>
      </c>
      <c r="H108" s="6"/>
      <c r="I108" s="6"/>
      <c r="J108" s="6"/>
    </row>
    <row r="109" spans="2:10" x14ac:dyDescent="0.35">
      <c r="B109" s="32">
        <v>46209</v>
      </c>
      <c r="C109" s="33">
        <v>2150.60009765625</v>
      </c>
      <c r="D109" s="6">
        <f t="shared" si="2"/>
        <v>-2.298739534710903E-2</v>
      </c>
      <c r="F109" s="41">
        <v>24206.900390625</v>
      </c>
      <c r="G109" s="6">
        <f t="shared" si="3"/>
        <v>-2.6348158296567448E-3</v>
      </c>
      <c r="H109" s="6"/>
      <c r="I109" s="6"/>
      <c r="J109" s="6"/>
    </row>
    <row r="110" spans="2:10" x14ac:dyDescent="0.35">
      <c r="B110" s="32">
        <v>46216</v>
      </c>
      <c r="C110" s="33">
        <v>2143.800048828125</v>
      </c>
      <c r="D110" s="6">
        <f t="shared" si="2"/>
        <v>-3.1619308654992073E-3</v>
      </c>
      <c r="F110" s="41">
        <v>24334.30078125</v>
      </c>
      <c r="G110" s="6">
        <f t="shared" si="3"/>
        <v>5.2629782652529045E-3</v>
      </c>
      <c r="H110" s="6"/>
      <c r="I110" s="6"/>
      <c r="J110" s="6"/>
    </row>
    <row r="111" spans="2:10" x14ac:dyDescent="0.35">
      <c r="B111" s="32">
        <v>46223</v>
      </c>
      <c r="C111" s="33">
        <v>2161.800048828125</v>
      </c>
      <c r="D111" s="6">
        <f t="shared" si="2"/>
        <v>8.3963054342868215E-3</v>
      </c>
      <c r="F111" s="41">
        <v>23869.599609375</v>
      </c>
      <c r="G111" s="6">
        <f t="shared" si="3"/>
        <v>-1.909654919006587E-2</v>
      </c>
      <c r="H111" s="6"/>
      <c r="I111" s="6"/>
      <c r="J111" s="6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35D6-5284-449E-BAA4-34D13B002C1C}">
  <sheetPr>
    <tabColor rgb="FF002060"/>
  </sheetPr>
  <dimension ref="B2:T111"/>
  <sheetViews>
    <sheetView showGridLines="0" workbookViewId="0">
      <selection activeCell="A58" sqref="A58:XFD58"/>
    </sheetView>
  </sheetViews>
  <sheetFormatPr defaultRowHeight="14.5" x14ac:dyDescent="0.35"/>
  <cols>
    <col min="1" max="1" width="1.81640625" style="51" customWidth="1"/>
    <col min="2" max="2" width="13.36328125" style="51" customWidth="1"/>
    <col min="3" max="3" width="14.08984375" style="51" customWidth="1"/>
    <col min="4" max="4" width="11.36328125" style="51" bestFit="1" customWidth="1"/>
    <col min="5" max="5" width="7.453125" style="51" customWidth="1"/>
    <col min="6" max="6" width="14.26953125" style="51" customWidth="1"/>
    <col min="7" max="7" width="10.36328125" style="51" customWidth="1"/>
    <col min="8" max="8" width="8.7265625" style="51"/>
    <col min="9" max="9" width="21.08984375" style="51" customWidth="1"/>
    <col min="10" max="10" width="13.453125" style="51" customWidth="1"/>
    <col min="11" max="11" width="8.7265625" style="51"/>
    <col min="12" max="12" width="16.453125" style="51" bestFit="1" customWidth="1"/>
    <col min="13" max="13" width="11.81640625" style="51" bestFit="1" customWidth="1"/>
    <col min="14" max="14" width="13" style="51" bestFit="1" customWidth="1"/>
    <col min="15" max="16" width="11.81640625" style="51" bestFit="1" customWidth="1"/>
    <col min="17" max="17" width="12.7265625" style="51" bestFit="1" customWidth="1"/>
    <col min="18" max="18" width="11.81640625" style="51" bestFit="1" customWidth="1"/>
    <col min="19" max="19" width="12.453125" style="51" bestFit="1" customWidth="1"/>
    <col min="20" max="20" width="12" style="51" bestFit="1" customWidth="1"/>
    <col min="21" max="16384" width="8.7265625" style="51"/>
  </cols>
  <sheetData>
    <row r="2" spans="2:20" x14ac:dyDescent="0.35">
      <c r="B2" s="38" t="str">
        <f>'Data - Hind. Unilever'!B2</f>
        <v xml:space="preserve">Regression Beta - 2 Years Weekly </v>
      </c>
      <c r="C2" s="39"/>
    </row>
    <row r="4" spans="2:20" x14ac:dyDescent="0.35">
      <c r="B4" s="68" t="s">
        <v>89</v>
      </c>
      <c r="C4" s="68"/>
      <c r="D4" s="68"/>
      <c r="F4" s="68" t="s">
        <v>56</v>
      </c>
      <c r="G4" s="68"/>
      <c r="I4" s="68" t="s">
        <v>82</v>
      </c>
      <c r="J4" s="68"/>
      <c r="L4" t="s">
        <v>57</v>
      </c>
      <c r="M4"/>
      <c r="N4"/>
      <c r="O4"/>
      <c r="P4"/>
      <c r="Q4"/>
      <c r="R4"/>
      <c r="S4"/>
      <c r="T4"/>
    </row>
    <row r="5" spans="2:20" ht="15" thickBot="1" x14ac:dyDescent="0.4">
      <c r="L5"/>
      <c r="M5"/>
      <c r="N5"/>
      <c r="O5"/>
      <c r="P5"/>
      <c r="Q5"/>
      <c r="R5"/>
      <c r="S5"/>
      <c r="T5"/>
    </row>
    <row r="6" spans="2:20" x14ac:dyDescent="0.35">
      <c r="B6" s="36" t="s">
        <v>52</v>
      </c>
      <c r="C6" s="37" t="s">
        <v>53</v>
      </c>
      <c r="D6" s="18" t="s">
        <v>55</v>
      </c>
      <c r="E6"/>
      <c r="F6" s="37" t="s">
        <v>53</v>
      </c>
      <c r="G6" s="18" t="s">
        <v>55</v>
      </c>
      <c r="I6" s="51" t="s">
        <v>83</v>
      </c>
      <c r="J6" s="57">
        <f>M21</f>
        <v>0.77963166252973992</v>
      </c>
      <c r="L6" s="44" t="s">
        <v>58</v>
      </c>
      <c r="M6" s="44"/>
      <c r="N6"/>
      <c r="O6"/>
      <c r="P6"/>
      <c r="Q6"/>
      <c r="R6"/>
      <c r="S6"/>
      <c r="T6"/>
    </row>
    <row r="7" spans="2:20" x14ac:dyDescent="0.35">
      <c r="B7" s="32">
        <v>45495</v>
      </c>
      <c r="C7" s="53">
        <v>1213.005615234375</v>
      </c>
      <c r="F7" s="53">
        <f>'Data - Hind. Unilever'!F7</f>
        <v>24834.849609375</v>
      </c>
      <c r="I7" s="51" t="s">
        <v>84</v>
      </c>
      <c r="J7" s="56">
        <v>0.75</v>
      </c>
      <c r="L7" t="s">
        <v>59</v>
      </c>
      <c r="M7">
        <v>0.50410625729789393</v>
      </c>
      <c r="N7"/>
      <c r="O7"/>
      <c r="P7"/>
      <c r="Q7"/>
      <c r="R7"/>
      <c r="S7"/>
      <c r="T7"/>
    </row>
    <row r="8" spans="2:20" x14ac:dyDescent="0.35">
      <c r="B8" s="32">
        <v>45502</v>
      </c>
      <c r="C8" s="53">
        <v>1221.918701171875</v>
      </c>
      <c r="D8" s="54">
        <f>IFERROR(C8/C7-1,0)</f>
        <v>7.3479346060387751E-3</v>
      </c>
      <c r="F8" s="53">
        <f>'Data - Hind. Unilever'!F8</f>
        <v>24717.69921875</v>
      </c>
      <c r="G8" s="54">
        <f>IFERROR(F8/F7-1,0)</f>
        <v>-4.7171773724281607E-3</v>
      </c>
      <c r="L8" t="s">
        <v>60</v>
      </c>
      <c r="M8">
        <v>0.25412311864689047</v>
      </c>
      <c r="N8"/>
      <c r="O8"/>
      <c r="P8"/>
      <c r="Q8"/>
      <c r="R8"/>
      <c r="S8"/>
      <c r="T8"/>
    </row>
    <row r="9" spans="2:20" x14ac:dyDescent="0.35">
      <c r="B9" s="32">
        <v>45509</v>
      </c>
      <c r="C9" s="53">
        <v>1226.619995117188</v>
      </c>
      <c r="D9" s="54">
        <f t="shared" ref="D9:D72" si="0">IFERROR(C9/C8-1,0)</f>
        <v>3.8474686906782019E-3</v>
      </c>
      <c r="F9" s="53">
        <f>'Data - Hind. Unilever'!F9</f>
        <v>24367.5</v>
      </c>
      <c r="G9" s="54">
        <f t="shared" ref="G9:G72" si="1">IFERROR(F9/F8-1,0)</f>
        <v>-1.4167953726225035E-2</v>
      </c>
      <c r="L9" t="s">
        <v>61</v>
      </c>
      <c r="M9">
        <v>0.24681060020225215</v>
      </c>
      <c r="N9"/>
      <c r="O9"/>
      <c r="P9"/>
      <c r="Q9"/>
      <c r="R9"/>
      <c r="S9"/>
      <c r="T9"/>
    </row>
    <row r="10" spans="2:20" x14ac:dyDescent="0.35">
      <c r="B10" s="32">
        <v>45516</v>
      </c>
      <c r="C10" s="53">
        <v>1236.781860351562</v>
      </c>
      <c r="D10" s="54">
        <f t="shared" si="0"/>
        <v>8.2844444692125041E-3</v>
      </c>
      <c r="F10" s="53">
        <f>'Data - Hind. Unilever'!F10</f>
        <v>24541.150390625</v>
      </c>
      <c r="G10" s="54">
        <f t="shared" si="1"/>
        <v>7.126311300913013E-3</v>
      </c>
      <c r="I10" s="51" t="s">
        <v>85</v>
      </c>
      <c r="J10" s="51">
        <v>1</v>
      </c>
      <c r="L10" t="s">
        <v>62</v>
      </c>
      <c r="M10">
        <v>2.4738165791370781E-2</v>
      </c>
      <c r="N10"/>
      <c r="O10"/>
      <c r="P10"/>
      <c r="Q10"/>
      <c r="R10"/>
      <c r="S10"/>
      <c r="T10"/>
    </row>
    <row r="11" spans="2:20" ht="16" customHeight="1" thickBot="1" x14ac:dyDescent="0.4">
      <c r="B11" s="32">
        <v>45523</v>
      </c>
      <c r="C11" s="53">
        <v>1238.618286132812</v>
      </c>
      <c r="D11" s="54">
        <f t="shared" si="0"/>
        <v>1.4848421052424676E-3</v>
      </c>
      <c r="F11" s="53">
        <f>'Data - Hind. Unilever'!F11</f>
        <v>24823.150390625</v>
      </c>
      <c r="G11" s="54">
        <f t="shared" si="1"/>
        <v>1.1490903870086111E-2</v>
      </c>
      <c r="I11" s="51" t="s">
        <v>86</v>
      </c>
      <c r="J11" s="56">
        <v>0.25</v>
      </c>
      <c r="L11" s="42" t="s">
        <v>63</v>
      </c>
      <c r="M11" s="42">
        <v>104</v>
      </c>
      <c r="N11"/>
      <c r="O11"/>
      <c r="P11"/>
      <c r="Q11"/>
      <c r="R11"/>
      <c r="S11"/>
      <c r="T11"/>
    </row>
    <row r="12" spans="2:20" x14ac:dyDescent="0.35">
      <c r="B12" s="32">
        <v>45530</v>
      </c>
      <c r="C12" s="53">
        <v>1224.685668945312</v>
      </c>
      <c r="D12" s="54">
        <f t="shared" si="0"/>
        <v>-1.1248515659332048E-2</v>
      </c>
      <c r="F12" s="53">
        <f>'Data - Hind. Unilever'!F12</f>
        <v>25235.900390625</v>
      </c>
      <c r="G12" s="54">
        <f t="shared" si="1"/>
        <v>1.6627623549180237E-2</v>
      </c>
      <c r="L12"/>
      <c r="M12"/>
      <c r="N12"/>
      <c r="O12"/>
      <c r="P12"/>
      <c r="Q12"/>
      <c r="R12"/>
      <c r="S12"/>
      <c r="T12"/>
    </row>
    <row r="13" spans="2:20" ht="15" thickBot="1" x14ac:dyDescent="0.4">
      <c r="B13" s="32">
        <v>45537</v>
      </c>
      <c r="C13" s="53">
        <v>1225.885498046875</v>
      </c>
      <c r="D13" s="54">
        <f t="shared" si="0"/>
        <v>9.7970371662481348E-4</v>
      </c>
      <c r="F13" s="53">
        <f>'Data - Hind. Unilever'!F13</f>
        <v>24852.150390625</v>
      </c>
      <c r="G13" s="54">
        <f t="shared" si="1"/>
        <v>-1.5206511123437516E-2</v>
      </c>
      <c r="I13" s="49" t="s">
        <v>87</v>
      </c>
      <c r="J13" s="50">
        <f>IFERROR((J6*J7)+(J10*J11),0)</f>
        <v>0.834723746897305</v>
      </c>
      <c r="L13" t="s">
        <v>64</v>
      </c>
      <c r="M13"/>
      <c r="N13"/>
      <c r="O13"/>
      <c r="P13"/>
      <c r="Q13"/>
      <c r="R13"/>
      <c r="S13"/>
      <c r="T13"/>
    </row>
    <row r="14" spans="2:20" x14ac:dyDescent="0.35">
      <c r="B14" s="32">
        <v>45544</v>
      </c>
      <c r="C14" s="53">
        <v>1239.695678710938</v>
      </c>
      <c r="D14" s="54">
        <f t="shared" si="0"/>
        <v>1.1265473558554895E-2</v>
      </c>
      <c r="F14" s="53">
        <f>'Data - Hind. Unilever'!F14</f>
        <v>25356.5</v>
      </c>
      <c r="G14" s="54">
        <f t="shared" si="1"/>
        <v>2.0294002790408605E-2</v>
      </c>
      <c r="J14" s="55"/>
      <c r="L14" s="43"/>
      <c r="M14" s="43" t="s">
        <v>69</v>
      </c>
      <c r="N14" s="43" t="s">
        <v>70</v>
      </c>
      <c r="O14" s="43" t="s">
        <v>71</v>
      </c>
      <c r="P14" s="43" t="s">
        <v>72</v>
      </c>
      <c r="Q14" s="43" t="s">
        <v>73</v>
      </c>
      <c r="R14"/>
      <c r="S14"/>
      <c r="T14"/>
    </row>
    <row r="15" spans="2:20" x14ac:dyDescent="0.35">
      <c r="B15" s="32">
        <v>45551</v>
      </c>
      <c r="C15" s="53">
        <v>1322.043334960938</v>
      </c>
      <c r="D15" s="54">
        <f t="shared" si="0"/>
        <v>6.6425702423700272E-2</v>
      </c>
      <c r="F15" s="53">
        <f>'Data - Hind. Unilever'!F15</f>
        <v>25790.94921875</v>
      </c>
      <c r="G15" s="54">
        <f t="shared" si="1"/>
        <v>1.7133643000808441E-2</v>
      </c>
      <c r="L15" t="s">
        <v>65</v>
      </c>
      <c r="M15">
        <v>1</v>
      </c>
      <c r="N15">
        <v>2.1267291974155243E-2</v>
      </c>
      <c r="O15">
        <v>2.1267291974155243E-2</v>
      </c>
      <c r="P15">
        <v>34.75179181711578</v>
      </c>
      <c r="Q15">
        <v>4.881698550213584E-8</v>
      </c>
      <c r="R15"/>
      <c r="S15"/>
      <c r="T15"/>
    </row>
    <row r="16" spans="2:20" x14ac:dyDescent="0.35">
      <c r="B16" s="32">
        <v>45558</v>
      </c>
      <c r="C16" s="53">
        <v>1344.644409179688</v>
      </c>
      <c r="D16" s="54">
        <f t="shared" si="0"/>
        <v>1.7095562317114066E-2</v>
      </c>
      <c r="F16" s="53">
        <f>'Data - Hind. Unilever'!F16</f>
        <v>26178.94921875</v>
      </c>
      <c r="G16" s="54">
        <f t="shared" si="1"/>
        <v>1.5044037220542705E-2</v>
      </c>
      <c r="L16" t="s">
        <v>66</v>
      </c>
      <c r="M16">
        <v>102</v>
      </c>
      <c r="N16">
        <v>6.2421638365577452E-2</v>
      </c>
      <c r="O16">
        <v>6.1197684672134752E-4</v>
      </c>
      <c r="P16"/>
      <c r="Q16"/>
      <c r="R16"/>
      <c r="S16"/>
      <c r="T16"/>
    </row>
    <row r="17" spans="2:20" ht="15" thickBot="1" x14ac:dyDescent="0.4">
      <c r="B17" s="32">
        <v>45565</v>
      </c>
      <c r="C17" s="53">
        <v>1272.385131835938</v>
      </c>
      <c r="D17" s="54">
        <f t="shared" si="0"/>
        <v>-5.3738577166161261E-2</v>
      </c>
      <c r="F17" s="53">
        <f>'Data - Hind. Unilever'!F17</f>
        <v>25014.599609375</v>
      </c>
      <c r="G17" s="54">
        <f t="shared" si="1"/>
        <v>-4.4476560141728849E-2</v>
      </c>
      <c r="L17" s="42" t="s">
        <v>67</v>
      </c>
      <c r="M17" s="42">
        <v>103</v>
      </c>
      <c r="N17" s="42">
        <v>8.3688930339732695E-2</v>
      </c>
      <c r="O17" s="42"/>
      <c r="P17" s="42"/>
      <c r="Q17" s="42"/>
      <c r="R17"/>
      <c r="S17"/>
      <c r="T17"/>
    </row>
    <row r="18" spans="2:20" ht="15" thickBot="1" x14ac:dyDescent="0.4">
      <c r="B18" s="32">
        <v>45572</v>
      </c>
      <c r="C18" s="53">
        <v>1230.09716796875</v>
      </c>
      <c r="D18" s="54">
        <f t="shared" si="0"/>
        <v>-3.3235191774184103E-2</v>
      </c>
      <c r="F18" s="53">
        <f>'Data - Hind. Unilever'!F18</f>
        <v>24964.25</v>
      </c>
      <c r="G18" s="54">
        <f t="shared" si="1"/>
        <v>-2.0128089260372795E-3</v>
      </c>
      <c r="L18"/>
      <c r="M18"/>
      <c r="N18"/>
      <c r="O18"/>
      <c r="P18"/>
      <c r="Q18"/>
      <c r="R18"/>
      <c r="S18"/>
      <c r="T18"/>
    </row>
    <row r="19" spans="2:20" x14ac:dyDescent="0.35">
      <c r="B19" s="32">
        <v>45579</v>
      </c>
      <c r="C19" s="53">
        <v>1150.981689453125</v>
      </c>
      <c r="D19" s="54">
        <f t="shared" si="0"/>
        <v>-6.4316446355427215E-2</v>
      </c>
      <c r="F19" s="53">
        <f>'Data - Hind. Unilever'!F19</f>
        <v>24854.05078125</v>
      </c>
      <c r="G19" s="54">
        <f t="shared" si="1"/>
        <v>-4.4142811720760955E-3</v>
      </c>
      <c r="L19" s="43"/>
      <c r="M19" s="43" t="s">
        <v>74</v>
      </c>
      <c r="N19" s="43" t="s">
        <v>62</v>
      </c>
      <c r="O19" s="43" t="s">
        <v>75</v>
      </c>
      <c r="P19" s="43" t="s">
        <v>76</v>
      </c>
      <c r="Q19" s="43" t="s">
        <v>77</v>
      </c>
      <c r="R19" s="43" t="s">
        <v>78</v>
      </c>
      <c r="S19" s="43" t="s">
        <v>79</v>
      </c>
      <c r="T19" s="43" t="s">
        <v>80</v>
      </c>
    </row>
    <row r="20" spans="2:20" x14ac:dyDescent="0.35">
      <c r="B20" s="32">
        <v>45586</v>
      </c>
      <c r="C20" s="53">
        <v>1107.126586914062</v>
      </c>
      <c r="D20" s="54">
        <f t="shared" si="0"/>
        <v>-3.8102345972072071E-2</v>
      </c>
      <c r="F20" s="53">
        <f>'Data - Hind. Unilever'!F20</f>
        <v>24180.80078125</v>
      </c>
      <c r="G20" s="54">
        <f t="shared" si="1"/>
        <v>-2.7088139713140946E-2</v>
      </c>
      <c r="L20" t="s">
        <v>68</v>
      </c>
      <c r="M20">
        <v>2.2390716254700274E-3</v>
      </c>
      <c r="N20">
        <v>2.4259400304723288E-3</v>
      </c>
      <c r="O20">
        <v>0.92297072365555621</v>
      </c>
      <c r="P20">
        <v>0.35820061974661355</v>
      </c>
      <c r="Q20">
        <v>-2.572768922529728E-3</v>
      </c>
      <c r="R20">
        <v>7.0509121734697831E-3</v>
      </c>
      <c r="S20">
        <v>-2.572768922529728E-3</v>
      </c>
      <c r="T20">
        <v>7.0509121734697831E-3</v>
      </c>
    </row>
    <row r="21" spans="2:20" ht="15" thickBot="1" x14ac:dyDescent="0.4">
      <c r="B21" s="32">
        <v>45593</v>
      </c>
      <c r="C21" s="53">
        <v>1117.70458984375</v>
      </c>
      <c r="D21" s="54">
        <f t="shared" si="0"/>
        <v>9.5544656362851477E-3</v>
      </c>
      <c r="F21" s="53">
        <f>'Data - Hind. Unilever'!F21</f>
        <v>24304.349609375</v>
      </c>
      <c r="G21" s="54">
        <f t="shared" si="1"/>
        <v>5.1093770319137199E-3</v>
      </c>
      <c r="L21" s="42" t="s">
        <v>81</v>
      </c>
      <c r="M21" s="42">
        <v>0.77963166252973992</v>
      </c>
      <c r="N21" s="42">
        <v>0.13225157947154578</v>
      </c>
      <c r="O21" s="42">
        <v>5.895065039260869</v>
      </c>
      <c r="P21" s="42">
        <v>4.8816985502136383E-8</v>
      </c>
      <c r="Q21" s="42">
        <v>0.5173112817104768</v>
      </c>
      <c r="R21" s="42">
        <v>1.041952043349003</v>
      </c>
      <c r="S21" s="42">
        <v>0.5173112817104768</v>
      </c>
      <c r="T21" s="42">
        <v>1.041952043349003</v>
      </c>
    </row>
    <row r="22" spans="2:20" x14ac:dyDescent="0.35">
      <c r="B22" s="32">
        <v>45600</v>
      </c>
      <c r="C22" s="53">
        <v>1124.242431640625</v>
      </c>
      <c r="D22" s="54">
        <f t="shared" si="0"/>
        <v>5.8493468276701321E-3</v>
      </c>
      <c r="F22" s="53">
        <f>'Data - Hind. Unilever'!F22</f>
        <v>24148.19921875</v>
      </c>
      <c r="G22" s="54">
        <f t="shared" si="1"/>
        <v>-6.424791987223899E-3</v>
      </c>
      <c r="L22"/>
      <c r="M22">
        <f>SLOPE(D8:D111,G8:G111)</f>
        <v>0.77963166252974014</v>
      </c>
      <c r="N22"/>
      <c r="O22"/>
      <c r="P22"/>
      <c r="Q22"/>
      <c r="R22"/>
      <c r="S22"/>
      <c r="T22"/>
    </row>
    <row r="23" spans="2:20" x14ac:dyDescent="0.35">
      <c r="B23" s="32">
        <v>45607</v>
      </c>
      <c r="C23" s="53">
        <v>1068.976806640625</v>
      </c>
      <c r="D23" s="54">
        <f t="shared" si="0"/>
        <v>-4.9158102776240109E-2</v>
      </c>
      <c r="F23" s="53">
        <f>'Data - Hind. Unilever'!F23</f>
        <v>23532.69921875</v>
      </c>
      <c r="G23" s="54">
        <f t="shared" si="1"/>
        <v>-2.5488443027341434E-2</v>
      </c>
      <c r="L23"/>
      <c r="M23"/>
      <c r="N23"/>
      <c r="O23"/>
      <c r="P23"/>
      <c r="Q23"/>
      <c r="R23"/>
      <c r="S23"/>
      <c r="T23"/>
    </row>
    <row r="24" spans="2:20" x14ac:dyDescent="0.35">
      <c r="B24" s="32">
        <v>45614</v>
      </c>
      <c r="C24" s="53">
        <v>1100.564331054688</v>
      </c>
      <c r="D24" s="54">
        <f t="shared" si="0"/>
        <v>2.9549307541414382E-2</v>
      </c>
      <c r="F24" s="53">
        <f>'Data - Hind. Unilever'!F24</f>
        <v>23907.25</v>
      </c>
      <c r="G24" s="54">
        <f t="shared" si="1"/>
        <v>1.5916184444815906E-2</v>
      </c>
      <c r="L24"/>
      <c r="M24"/>
      <c r="N24"/>
      <c r="O24"/>
      <c r="P24"/>
      <c r="Q24"/>
      <c r="R24"/>
      <c r="S24"/>
      <c r="T24"/>
    </row>
    <row r="25" spans="2:20" x14ac:dyDescent="0.35">
      <c r="B25" s="32">
        <v>45621</v>
      </c>
      <c r="C25" s="53">
        <v>1094.369018554688</v>
      </c>
      <c r="D25" s="54">
        <f t="shared" si="0"/>
        <v>-5.6292143268562578E-3</v>
      </c>
      <c r="F25" s="53">
        <f>'Data - Hind. Unilever'!F25</f>
        <v>24131.099609375</v>
      </c>
      <c r="G25" s="54">
        <f t="shared" si="1"/>
        <v>9.3632521254012335E-3</v>
      </c>
    </row>
    <row r="26" spans="2:20" x14ac:dyDescent="0.35">
      <c r="B26" s="32">
        <v>45628</v>
      </c>
      <c r="C26" s="53">
        <v>1110.603637695312</v>
      </c>
      <c r="D26" s="54">
        <f t="shared" si="0"/>
        <v>1.4834684521739083E-2</v>
      </c>
      <c r="F26" s="53">
        <f>'Data - Hind. Unilever'!F26</f>
        <v>24677.80078125</v>
      </c>
      <c r="G26" s="54">
        <f t="shared" si="1"/>
        <v>2.2655460411037609E-2</v>
      </c>
    </row>
    <row r="27" spans="2:20" x14ac:dyDescent="0.35">
      <c r="B27" s="32">
        <v>45635</v>
      </c>
      <c r="C27" s="53">
        <v>1103.600463867188</v>
      </c>
      <c r="D27" s="54">
        <f t="shared" si="0"/>
        <v>-6.3057364395607829E-3</v>
      </c>
      <c r="F27" s="53">
        <f>'Data - Hind. Unilever'!F27</f>
        <v>24768.30078125</v>
      </c>
      <c r="G27" s="54">
        <f t="shared" si="1"/>
        <v>3.667263578396307E-3</v>
      </c>
    </row>
    <row r="28" spans="2:20" x14ac:dyDescent="0.35">
      <c r="B28" s="32">
        <v>45642</v>
      </c>
      <c r="C28" s="53">
        <v>1059.525024414062</v>
      </c>
      <c r="D28" s="54">
        <f t="shared" si="0"/>
        <v>-3.9937858759753198E-2</v>
      </c>
      <c r="F28" s="53">
        <f>'Data - Hind. Unilever'!F28</f>
        <v>23587.5</v>
      </c>
      <c r="G28" s="54">
        <f t="shared" si="1"/>
        <v>-4.7673871198458895E-2</v>
      </c>
    </row>
    <row r="29" spans="2:20" x14ac:dyDescent="0.35">
      <c r="B29" s="32">
        <v>45649</v>
      </c>
      <c r="C29" s="53">
        <v>1060.553588867188</v>
      </c>
      <c r="D29" s="54">
        <f t="shared" si="0"/>
        <v>9.7077882015539352E-4</v>
      </c>
      <c r="F29" s="53">
        <f>'Data - Hind. Unilever'!F29</f>
        <v>23813.400390625</v>
      </c>
      <c r="G29" s="54">
        <f t="shared" si="1"/>
        <v>9.5771230789614137E-3</v>
      </c>
    </row>
    <row r="30" spans="2:20" x14ac:dyDescent="0.35">
      <c r="B30" s="32">
        <v>45656</v>
      </c>
      <c r="C30" s="53">
        <v>1093.414184570312</v>
      </c>
      <c r="D30" s="54">
        <f t="shared" si="0"/>
        <v>3.0984380278438861E-2</v>
      </c>
      <c r="F30" s="53">
        <f>'Data - Hind. Unilever'!F30</f>
        <v>24004.75</v>
      </c>
      <c r="G30" s="54">
        <f t="shared" si="1"/>
        <v>8.0353753028203911E-3</v>
      </c>
    </row>
    <row r="31" spans="2:20" x14ac:dyDescent="0.35">
      <c r="B31" s="32">
        <v>45663</v>
      </c>
      <c r="C31" s="53">
        <v>1100.858154296875</v>
      </c>
      <c r="D31" s="54">
        <f t="shared" si="0"/>
        <v>6.8080054489949582E-3</v>
      </c>
      <c r="F31" s="53">
        <f>'Data - Hind. Unilever'!F31</f>
        <v>23431.5</v>
      </c>
      <c r="G31" s="54">
        <f t="shared" si="1"/>
        <v>-2.3880690280048689E-2</v>
      </c>
    </row>
    <row r="32" spans="2:20" x14ac:dyDescent="0.35">
      <c r="B32" s="32">
        <v>45670</v>
      </c>
      <c r="C32" s="53">
        <v>1085.823364257812</v>
      </c>
      <c r="D32" s="54">
        <f t="shared" si="0"/>
        <v>-1.3657336306570511E-2</v>
      </c>
      <c r="F32" s="53">
        <f>'Data - Hind. Unilever'!F32</f>
        <v>23203.19921875</v>
      </c>
      <c r="G32" s="54">
        <f t="shared" si="1"/>
        <v>-9.7433276252053558E-3</v>
      </c>
    </row>
    <row r="33" spans="2:7" x14ac:dyDescent="0.35">
      <c r="B33" s="32">
        <v>45677</v>
      </c>
      <c r="C33" s="53">
        <v>1081.268798828125</v>
      </c>
      <c r="D33" s="54">
        <f t="shared" si="0"/>
        <v>-4.1945730582065854E-3</v>
      </c>
      <c r="F33" s="53">
        <f>'Data - Hind. Unilever'!F33</f>
        <v>23092.19921875</v>
      </c>
      <c r="G33" s="54">
        <f t="shared" si="1"/>
        <v>-4.7838230820473893E-3</v>
      </c>
    </row>
    <row r="34" spans="2:7" x14ac:dyDescent="0.35">
      <c r="B34" s="32">
        <v>45684</v>
      </c>
      <c r="C34" s="53">
        <v>1139.693359375</v>
      </c>
      <c r="D34" s="54">
        <f t="shared" si="0"/>
        <v>5.4033336215930206E-2</v>
      </c>
      <c r="F34" s="53">
        <f>'Data - Hind. Unilever'!F34</f>
        <v>23482.150390625</v>
      </c>
      <c r="G34" s="54">
        <f t="shared" si="1"/>
        <v>1.688670568710382E-2</v>
      </c>
    </row>
    <row r="35" spans="2:7" x14ac:dyDescent="0.35">
      <c r="B35" s="32">
        <v>45691</v>
      </c>
      <c r="C35" s="53">
        <v>1096.670532226562</v>
      </c>
      <c r="D35" s="54">
        <f t="shared" si="0"/>
        <v>-3.7749476027509221E-2</v>
      </c>
      <c r="F35" s="53">
        <f>'Data - Hind. Unilever'!F35</f>
        <v>23559.94921875</v>
      </c>
      <c r="G35" s="54">
        <f t="shared" si="1"/>
        <v>3.313104925691146E-3</v>
      </c>
    </row>
    <row r="36" spans="2:7" x14ac:dyDescent="0.35">
      <c r="B36" s="32">
        <v>45698</v>
      </c>
      <c r="C36" s="53">
        <v>1082.254272460938</v>
      </c>
      <c r="D36" s="54">
        <f t="shared" si="0"/>
        <v>-1.3145479286613915E-2</v>
      </c>
      <c r="F36" s="53">
        <f>'Data - Hind. Unilever'!F36</f>
        <v>22929.25</v>
      </c>
      <c r="G36" s="54">
        <f t="shared" si="1"/>
        <v>-2.6769973606227571E-2</v>
      </c>
    </row>
    <row r="37" spans="2:7" x14ac:dyDescent="0.35">
      <c r="B37" s="32">
        <v>45705</v>
      </c>
      <c r="C37" s="53">
        <v>1091.66796875</v>
      </c>
      <c r="D37" s="54">
        <f t="shared" si="0"/>
        <v>8.6982297308526579E-3</v>
      </c>
      <c r="F37" s="53">
        <f>'Data - Hind. Unilever'!F37</f>
        <v>22795.900390625</v>
      </c>
      <c r="G37" s="54">
        <f t="shared" si="1"/>
        <v>-5.8156986981693359E-3</v>
      </c>
    </row>
    <row r="38" spans="2:7" x14ac:dyDescent="0.35">
      <c r="B38" s="32">
        <v>45712</v>
      </c>
      <c r="C38" s="53">
        <v>1079.198486328125</v>
      </c>
      <c r="D38" s="54">
        <f t="shared" si="0"/>
        <v>-1.1422413021931033E-2</v>
      </c>
      <c r="F38" s="53">
        <f>'Data - Hind. Unilever'!F38</f>
        <v>22124.69921875</v>
      </c>
      <c r="G38" s="54">
        <f t="shared" si="1"/>
        <v>-2.9443942128780209E-2</v>
      </c>
    </row>
    <row r="39" spans="2:7" x14ac:dyDescent="0.35">
      <c r="B39" s="32">
        <v>45719</v>
      </c>
      <c r="C39" s="53">
        <v>1103.250244140625</v>
      </c>
      <c r="D39" s="54">
        <f t="shared" si="0"/>
        <v>2.2286686014853396E-2</v>
      </c>
      <c r="F39" s="53">
        <f>'Data - Hind. Unilever'!F39</f>
        <v>22552.5</v>
      </c>
      <c r="G39" s="54">
        <f t="shared" si="1"/>
        <v>1.9335891395416249E-2</v>
      </c>
    </row>
    <row r="40" spans="2:7" x14ac:dyDescent="0.35">
      <c r="B40" s="32">
        <v>45726</v>
      </c>
      <c r="C40" s="53">
        <v>1080.332153320312</v>
      </c>
      <c r="D40" s="54">
        <f t="shared" si="0"/>
        <v>-2.0773247902759362E-2</v>
      </c>
      <c r="F40" s="53">
        <f>'Data - Hind. Unilever'!F40</f>
        <v>22397.19921875</v>
      </c>
      <c r="G40" s="54">
        <f t="shared" si="1"/>
        <v>-6.8861891697150623E-3</v>
      </c>
    </row>
    <row r="41" spans="2:7" x14ac:dyDescent="0.35">
      <c r="B41" s="32">
        <v>45733</v>
      </c>
      <c r="C41" s="53">
        <v>1118.2333984375</v>
      </c>
      <c r="D41" s="54">
        <f t="shared" si="0"/>
        <v>3.5082955737919752E-2</v>
      </c>
      <c r="F41" s="53">
        <f>'Data - Hind. Unilever'!F41</f>
        <v>23350.400390625</v>
      </c>
      <c r="G41" s="54">
        <f t="shared" si="1"/>
        <v>4.2558945096895062E-2</v>
      </c>
    </row>
    <row r="42" spans="2:7" x14ac:dyDescent="0.35">
      <c r="B42" s="32">
        <v>45740</v>
      </c>
      <c r="C42" s="53">
        <v>1109.312377929688</v>
      </c>
      <c r="D42" s="54">
        <f t="shared" si="0"/>
        <v>-7.9777804171090594E-3</v>
      </c>
      <c r="F42" s="53">
        <f>'Data - Hind. Unilever'!F42</f>
        <v>23519.349609375</v>
      </c>
      <c r="G42" s="54">
        <f t="shared" si="1"/>
        <v>7.2353885125597817E-3</v>
      </c>
    </row>
    <row r="43" spans="2:7" x14ac:dyDescent="0.35">
      <c r="B43" s="32">
        <v>45747</v>
      </c>
      <c r="C43" s="53">
        <v>1114.93115234375</v>
      </c>
      <c r="D43" s="54">
        <f t="shared" si="0"/>
        <v>5.0650966543330789E-3</v>
      </c>
      <c r="F43" s="53">
        <f>'Data - Hind. Unilever'!F43</f>
        <v>22904.44921875</v>
      </c>
      <c r="G43" s="54">
        <f t="shared" si="1"/>
        <v>-2.6144447054772924E-2</v>
      </c>
    </row>
    <row r="44" spans="2:7" x14ac:dyDescent="0.35">
      <c r="B44" s="32">
        <v>45754</v>
      </c>
      <c r="C44" s="53">
        <v>1163.847778320312</v>
      </c>
      <c r="D44" s="54">
        <f t="shared" si="0"/>
        <v>4.3874122517549186E-2</v>
      </c>
      <c r="F44" s="53">
        <f>'Data - Hind. Unilever'!F44</f>
        <v>22828.55078125</v>
      </c>
      <c r="G44" s="54">
        <f t="shared" si="1"/>
        <v>-3.3136984336592512E-3</v>
      </c>
    </row>
    <row r="45" spans="2:7" x14ac:dyDescent="0.35">
      <c r="B45" s="32">
        <v>45761</v>
      </c>
      <c r="C45" s="53">
        <v>1191.053955078125</v>
      </c>
      <c r="D45" s="54">
        <f t="shared" si="0"/>
        <v>2.33760610834155E-2</v>
      </c>
      <c r="F45" s="53">
        <f>'Data - Hind. Unilever'!F45</f>
        <v>23851.650390625</v>
      </c>
      <c r="G45" s="54">
        <f t="shared" si="1"/>
        <v>4.4816669230502093E-2</v>
      </c>
    </row>
    <row r="46" spans="2:7" x14ac:dyDescent="0.35">
      <c r="B46" s="32">
        <v>45768</v>
      </c>
      <c r="C46" s="53">
        <v>1189.526000976562</v>
      </c>
      <c r="D46" s="54">
        <f t="shared" si="0"/>
        <v>-1.2828588453516199E-3</v>
      </c>
      <c r="F46" s="53">
        <f>'Data - Hind. Unilever'!F46</f>
        <v>24039.349609375</v>
      </c>
      <c r="G46" s="54">
        <f t="shared" si="1"/>
        <v>7.8694436517390276E-3</v>
      </c>
    </row>
    <row r="47" spans="2:7" x14ac:dyDescent="0.35">
      <c r="B47" s="32">
        <v>45775</v>
      </c>
      <c r="C47" s="53">
        <v>1149.259155273438</v>
      </c>
      <c r="D47" s="54">
        <f t="shared" si="0"/>
        <v>-3.3851169011914206E-2</v>
      </c>
      <c r="F47" s="53">
        <f>'Data - Hind. Unilever'!F47</f>
        <v>24346.69921875</v>
      </c>
      <c r="G47" s="54">
        <f t="shared" si="1"/>
        <v>1.2785271414129218E-2</v>
      </c>
    </row>
    <row r="48" spans="2:7" x14ac:dyDescent="0.35">
      <c r="B48" s="32">
        <v>45782</v>
      </c>
      <c r="C48" s="53">
        <v>1146.104614257812</v>
      </c>
      <c r="D48" s="54">
        <f t="shared" si="0"/>
        <v>-2.7448474098736853E-3</v>
      </c>
      <c r="F48" s="53">
        <f>'Data - Hind. Unilever'!F48</f>
        <v>24008</v>
      </c>
      <c r="G48" s="54">
        <f t="shared" si="1"/>
        <v>-1.391150462355728E-2</v>
      </c>
    </row>
    <row r="49" spans="2:7" x14ac:dyDescent="0.35">
      <c r="B49" s="32">
        <v>45789</v>
      </c>
      <c r="C49" s="53">
        <v>1187.209594726562</v>
      </c>
      <c r="D49" s="54">
        <f t="shared" si="0"/>
        <v>3.5864946321124913E-2</v>
      </c>
      <c r="F49" s="53">
        <f>'Data - Hind. Unilever'!F49</f>
        <v>25019.80078125</v>
      </c>
      <c r="G49" s="54">
        <f t="shared" si="1"/>
        <v>4.2144317779490237E-2</v>
      </c>
    </row>
    <row r="50" spans="2:7" x14ac:dyDescent="0.35">
      <c r="B50" s="32">
        <v>45796</v>
      </c>
      <c r="C50" s="53">
        <v>1189.969604492188</v>
      </c>
      <c r="D50" s="54">
        <f t="shared" si="0"/>
        <v>2.3247872809364356E-3</v>
      </c>
      <c r="F50" s="53">
        <f>'Data - Hind. Unilever'!F50</f>
        <v>24853.150390625</v>
      </c>
      <c r="G50" s="54">
        <f t="shared" si="1"/>
        <v>-6.6607401106841824E-3</v>
      </c>
    </row>
    <row r="51" spans="2:7" x14ac:dyDescent="0.35">
      <c r="B51" s="32">
        <v>45803</v>
      </c>
      <c r="C51" s="53">
        <v>1180.99951171875</v>
      </c>
      <c r="D51" s="54">
        <f t="shared" si="0"/>
        <v>-7.5380856280492514E-3</v>
      </c>
      <c r="F51" s="53">
        <f>'Data - Hind. Unilever'!F51</f>
        <v>24750.69921875</v>
      </c>
      <c r="G51" s="54">
        <f t="shared" si="1"/>
        <v>-4.1222609715364511E-3</v>
      </c>
    </row>
    <row r="52" spans="2:7" x14ac:dyDescent="0.35">
      <c r="B52" s="32">
        <v>45810</v>
      </c>
      <c r="C52" s="53">
        <v>1191.349609375</v>
      </c>
      <c r="D52" s="54">
        <f t="shared" si="0"/>
        <v>8.7638458386720686E-3</v>
      </c>
      <c r="F52" s="53">
        <f>'Data - Hind. Unilever'!F52</f>
        <v>25003.05078125</v>
      </c>
      <c r="G52" s="54">
        <f t="shared" si="1"/>
        <v>1.0195734684894431E-2</v>
      </c>
    </row>
    <row r="53" spans="2:7" x14ac:dyDescent="0.35">
      <c r="B53" s="32">
        <v>45817</v>
      </c>
      <c r="C53" s="53">
        <v>1171.438110351562</v>
      </c>
      <c r="D53" s="54">
        <f t="shared" si="0"/>
        <v>-1.6713397030351018E-2</v>
      </c>
      <c r="F53" s="53">
        <f>'Data - Hind. Unilever'!F53</f>
        <v>24718.599609375</v>
      </c>
      <c r="G53" s="54">
        <f t="shared" si="1"/>
        <v>-1.1376658567134212E-2</v>
      </c>
    </row>
    <row r="54" spans="2:7" x14ac:dyDescent="0.35">
      <c r="B54" s="32">
        <v>45824</v>
      </c>
      <c r="C54" s="53">
        <v>1163.354858398438</v>
      </c>
      <c r="D54" s="54">
        <f t="shared" si="0"/>
        <v>-6.9002808442848451E-3</v>
      </c>
      <c r="F54" s="53">
        <f>'Data - Hind. Unilever'!F54</f>
        <v>25112.400390625</v>
      </c>
      <c r="G54" s="54">
        <f t="shared" si="1"/>
        <v>1.5931354828881306E-2</v>
      </c>
    </row>
    <row r="55" spans="2:7" x14ac:dyDescent="0.35">
      <c r="B55" s="32">
        <v>45831</v>
      </c>
      <c r="C55" s="53">
        <v>1211.803344726562</v>
      </c>
      <c r="D55" s="54">
        <f t="shared" si="0"/>
        <v>4.1645492756029689E-2</v>
      </c>
      <c r="F55" s="53">
        <f>'Data - Hind. Unilever'!F55</f>
        <v>25637.80078125</v>
      </c>
      <c r="G55" s="54">
        <f t="shared" si="1"/>
        <v>2.092195020995069E-2</v>
      </c>
    </row>
    <row r="56" spans="2:7" x14ac:dyDescent="0.35">
      <c r="B56" s="32">
        <v>45838</v>
      </c>
      <c r="C56" s="53">
        <v>1184.282348632812</v>
      </c>
      <c r="D56" s="54">
        <f t="shared" si="0"/>
        <v>-2.2710777465266063E-2</v>
      </c>
      <c r="F56" s="53">
        <f>'Data - Hind. Unilever'!F56</f>
        <v>25461</v>
      </c>
      <c r="G56" s="54">
        <f t="shared" si="1"/>
        <v>-6.896097787736255E-3</v>
      </c>
    </row>
    <row r="57" spans="2:7" x14ac:dyDescent="0.35">
      <c r="B57" s="32">
        <v>45845</v>
      </c>
      <c r="C57" s="53">
        <v>1189.578002929688</v>
      </c>
      <c r="D57" s="54">
        <f t="shared" si="0"/>
        <v>4.4716146474608198E-3</v>
      </c>
      <c r="F57" s="53">
        <f>'Data - Hind. Unilever'!F57</f>
        <v>25149.849609375</v>
      </c>
      <c r="G57" s="54">
        <f t="shared" si="1"/>
        <v>-1.2220666534111024E-2</v>
      </c>
    </row>
    <row r="58" spans="2:7" x14ac:dyDescent="0.35">
      <c r="B58" s="32">
        <v>45852</v>
      </c>
      <c r="C58" s="53">
        <v>1223.580078125</v>
      </c>
      <c r="D58" s="54">
        <f t="shared" si="0"/>
        <v>2.8583308628414406E-2</v>
      </c>
      <c r="F58" s="53">
        <f>'Data - Hind. Unilever'!F58</f>
        <v>24968.400390625</v>
      </c>
      <c r="G58" s="54">
        <f t="shared" si="1"/>
        <v>-7.2147238082235221E-3</v>
      </c>
    </row>
    <row r="59" spans="2:7" x14ac:dyDescent="0.35">
      <c r="B59" s="32">
        <v>45859</v>
      </c>
      <c r="C59" s="53">
        <v>1125.781005859375</v>
      </c>
      <c r="D59" s="54">
        <f t="shared" si="0"/>
        <v>-7.9928624218441935E-2</v>
      </c>
      <c r="F59" s="53">
        <f>'Data - Hind. Unilever'!F59</f>
        <v>24837</v>
      </c>
      <c r="G59" s="54">
        <f t="shared" si="1"/>
        <v>-5.2626675545597301E-3</v>
      </c>
    </row>
    <row r="60" spans="2:7" x14ac:dyDescent="0.35">
      <c r="B60" s="32">
        <v>45866</v>
      </c>
      <c r="C60" s="53">
        <v>1126.72119140625</v>
      </c>
      <c r="D60" s="54">
        <f t="shared" si="0"/>
        <v>8.3514070852297451E-4</v>
      </c>
      <c r="F60" s="53">
        <f>'Data - Hind. Unilever'!F60</f>
        <v>24565.349609375</v>
      </c>
      <c r="G60" s="54">
        <f t="shared" si="1"/>
        <v>-1.0937326997020547E-2</v>
      </c>
    </row>
    <row r="61" spans="2:7" x14ac:dyDescent="0.35">
      <c r="B61" s="32">
        <v>45873</v>
      </c>
      <c r="C61" s="53">
        <v>1085.394165039062</v>
      </c>
      <c r="D61" s="54">
        <f t="shared" si="0"/>
        <v>-3.6679017562107008E-2</v>
      </c>
      <c r="F61" s="53">
        <f>'Data - Hind. Unilever'!F61</f>
        <v>24363.30078125</v>
      </c>
      <c r="G61" s="54">
        <f t="shared" si="1"/>
        <v>-8.2249522737462E-3</v>
      </c>
    </row>
    <row r="62" spans="2:7" x14ac:dyDescent="0.35">
      <c r="B62" s="32">
        <v>45880</v>
      </c>
      <c r="C62" s="53">
        <v>1078.366088867188</v>
      </c>
      <c r="D62" s="54">
        <f t="shared" si="0"/>
        <v>-6.475137234242645E-3</v>
      </c>
      <c r="F62" s="53">
        <f>'Data - Hind. Unilever'!F62</f>
        <v>24631.30078125</v>
      </c>
      <c r="G62" s="54">
        <f t="shared" si="1"/>
        <v>1.1000151515029977E-2</v>
      </c>
    </row>
    <row r="63" spans="2:7" x14ac:dyDescent="0.35">
      <c r="B63" s="32">
        <v>45887</v>
      </c>
      <c r="C63" s="53">
        <v>1151.12158203125</v>
      </c>
      <c r="D63" s="54">
        <f t="shared" si="0"/>
        <v>6.7468268814434795E-2</v>
      </c>
      <c r="F63" s="53">
        <f>'Data - Hind. Unilever'!F63</f>
        <v>24870.099609375</v>
      </c>
      <c r="G63" s="54">
        <f t="shared" si="1"/>
        <v>9.6949337043044093E-3</v>
      </c>
    </row>
    <row r="64" spans="2:7" x14ac:dyDescent="0.35">
      <c r="B64" s="32">
        <v>45894</v>
      </c>
      <c r="C64" s="53">
        <v>1144.489379882812</v>
      </c>
      <c r="D64" s="54">
        <f t="shared" si="0"/>
        <v>-5.7615131641740591E-3</v>
      </c>
      <c r="F64" s="53">
        <f>'Data - Hind. Unilever'!F64</f>
        <v>24426.849609375</v>
      </c>
      <c r="G64" s="54">
        <f t="shared" si="1"/>
        <v>-1.7822606542070796E-2</v>
      </c>
    </row>
    <row r="65" spans="2:7" x14ac:dyDescent="0.35">
      <c r="B65" s="32">
        <v>45901</v>
      </c>
      <c r="C65" s="53">
        <v>1196.259643554688</v>
      </c>
      <c r="D65" s="54">
        <f t="shared" si="0"/>
        <v>4.5234376641552387E-2</v>
      </c>
      <c r="F65" s="53">
        <f>'Data - Hind. Unilever'!F65</f>
        <v>24741</v>
      </c>
      <c r="G65" s="54">
        <f t="shared" si="1"/>
        <v>1.2860863993874538E-2</v>
      </c>
    </row>
    <row r="66" spans="2:7" x14ac:dyDescent="0.35">
      <c r="B66" s="32">
        <v>45908</v>
      </c>
      <c r="C66" s="53">
        <v>1205.267456054688</v>
      </c>
      <c r="D66" s="54">
        <f t="shared" si="0"/>
        <v>7.5299810944329248E-3</v>
      </c>
      <c r="F66" s="53">
        <f>'Data - Hind. Unilever'!F66</f>
        <v>25114</v>
      </c>
      <c r="G66" s="54">
        <f t="shared" si="1"/>
        <v>1.5076189321369338E-2</v>
      </c>
    </row>
    <row r="67" spans="2:7" x14ac:dyDescent="0.35">
      <c r="B67" s="32">
        <v>45915</v>
      </c>
      <c r="C67" s="53">
        <v>1182.401489257812</v>
      </c>
      <c r="D67" s="54">
        <f t="shared" si="0"/>
        <v>-1.8971695188489623E-2</v>
      </c>
      <c r="F67" s="53">
        <f>'Data - Hind. Unilever'!F67</f>
        <v>25327.05078125</v>
      </c>
      <c r="G67" s="54">
        <f t="shared" si="1"/>
        <v>8.483347186827972E-3</v>
      </c>
    </row>
    <row r="68" spans="2:7" x14ac:dyDescent="0.35">
      <c r="B68" s="32">
        <v>45922</v>
      </c>
      <c r="C68" s="53">
        <v>1150.824584960938</v>
      </c>
      <c r="D68" s="54">
        <f t="shared" si="0"/>
        <v>-2.6705737927220308E-2</v>
      </c>
      <c r="F68" s="53">
        <f>'Data - Hind. Unilever'!F68</f>
        <v>24654.69921875</v>
      </c>
      <c r="G68" s="54">
        <f t="shared" si="1"/>
        <v>-2.6546776737138011E-2</v>
      </c>
    </row>
    <row r="69" spans="2:7" x14ac:dyDescent="0.35">
      <c r="B69" s="32">
        <v>45929</v>
      </c>
      <c r="C69" s="53">
        <v>1158.05078125</v>
      </c>
      <c r="D69" s="54">
        <f t="shared" si="0"/>
        <v>6.2791466080014402E-3</v>
      </c>
      <c r="F69" s="53">
        <f>'Data - Hind. Unilever'!F69</f>
        <v>24894.25</v>
      </c>
      <c r="G69" s="54">
        <f t="shared" si="1"/>
        <v>9.7162321521173656E-3</v>
      </c>
    </row>
    <row r="70" spans="2:7" x14ac:dyDescent="0.35">
      <c r="B70" s="32">
        <v>45936</v>
      </c>
      <c r="C70" s="53">
        <v>1187.350830078125</v>
      </c>
      <c r="D70" s="54">
        <f t="shared" si="0"/>
        <v>2.5301177895237448E-2</v>
      </c>
      <c r="F70" s="53">
        <f>'Data - Hind. Unilever'!F70</f>
        <v>25285.349609375</v>
      </c>
      <c r="G70" s="54">
        <f t="shared" si="1"/>
        <v>1.5710439534229792E-2</v>
      </c>
    </row>
    <row r="71" spans="2:7" x14ac:dyDescent="0.35">
      <c r="B71" s="32">
        <v>45943</v>
      </c>
      <c r="C71" s="53">
        <v>1276.439331054688</v>
      </c>
      <c r="D71" s="54">
        <f t="shared" si="0"/>
        <v>7.5031320751846486E-2</v>
      </c>
      <c r="F71" s="53">
        <f>'Data - Hind. Unilever'!F71</f>
        <v>25709.849609375</v>
      </c>
      <c r="G71" s="54">
        <f t="shared" si="1"/>
        <v>1.6788377719033409E-2</v>
      </c>
    </row>
    <row r="72" spans="2:7" x14ac:dyDescent="0.35">
      <c r="B72" s="32">
        <v>45950</v>
      </c>
      <c r="C72" s="53">
        <v>1269.015258789062</v>
      </c>
      <c r="D72" s="54">
        <f t="shared" si="0"/>
        <v>-5.8162359032697397E-3</v>
      </c>
      <c r="F72" s="53">
        <f>'Data - Hind. Unilever'!F72</f>
        <v>25795.150390625</v>
      </c>
      <c r="G72" s="54">
        <f t="shared" si="1"/>
        <v>3.3178249793766046E-3</v>
      </c>
    </row>
    <row r="73" spans="2:7" x14ac:dyDescent="0.35">
      <c r="B73" s="32">
        <v>45957</v>
      </c>
      <c r="C73" s="53">
        <v>1258.720581054688</v>
      </c>
      <c r="D73" s="54">
        <f t="shared" ref="D73:D111" si="2">IFERROR(C73/C72-1,0)</f>
        <v>-8.112335657963321E-3</v>
      </c>
      <c r="F73" s="53">
        <f>'Data - Hind. Unilever'!F73</f>
        <v>25722.099609375</v>
      </c>
      <c r="G73" s="54">
        <f t="shared" ref="G73:G111" si="3">IFERROR(F73/F72-1,0)</f>
        <v>-2.8319579511562054E-3</v>
      </c>
    </row>
    <row r="74" spans="2:7" x14ac:dyDescent="0.35">
      <c r="B74" s="32">
        <v>45964</v>
      </c>
      <c r="C74" s="53">
        <v>1249.91064453125</v>
      </c>
      <c r="D74" s="54">
        <f t="shared" si="2"/>
        <v>-6.9991201034117489E-3</v>
      </c>
      <c r="F74" s="53">
        <f>'Data - Hind. Unilever'!F74</f>
        <v>25492.30078125</v>
      </c>
      <c r="G74" s="54">
        <f t="shared" si="3"/>
        <v>-8.9339063146013364E-3</v>
      </c>
    </row>
    <row r="75" spans="2:7" x14ac:dyDescent="0.35">
      <c r="B75" s="32">
        <v>45971</v>
      </c>
      <c r="C75" s="53">
        <v>1258.720581054688</v>
      </c>
      <c r="D75" s="54">
        <f t="shared" si="2"/>
        <v>7.0484530730130501E-3</v>
      </c>
      <c r="F75" s="53">
        <f>'Data - Hind. Unilever'!F75</f>
        <v>25910.05078125</v>
      </c>
      <c r="G75" s="54">
        <f t="shared" si="3"/>
        <v>1.6387300761305124E-2</v>
      </c>
    </row>
    <row r="76" spans="2:7" x14ac:dyDescent="0.35">
      <c r="B76" s="32">
        <v>45978</v>
      </c>
      <c r="C76" s="53">
        <v>1267.728393554688</v>
      </c>
      <c r="D76" s="54">
        <f t="shared" si="2"/>
        <v>7.1563241561143354E-3</v>
      </c>
      <c r="F76" s="53">
        <f>'Data - Hind. Unilever'!F76</f>
        <v>26068.150390625</v>
      </c>
      <c r="G76" s="54">
        <f t="shared" si="3"/>
        <v>6.1018641263879125E-3</v>
      </c>
    </row>
    <row r="77" spans="2:7" x14ac:dyDescent="0.35">
      <c r="B77" s="32">
        <v>45985</v>
      </c>
      <c r="C77" s="53">
        <v>1248.326904296875</v>
      </c>
      <c r="D77" s="54">
        <f t="shared" si="2"/>
        <v>-1.5304137192519218E-2</v>
      </c>
      <c r="F77" s="53">
        <f>'Data - Hind. Unilever'!F77</f>
        <v>26202.94921875</v>
      </c>
      <c r="G77" s="54">
        <f t="shared" si="3"/>
        <v>5.1710162057940767E-3</v>
      </c>
    </row>
    <row r="78" spans="2:7" x14ac:dyDescent="0.35">
      <c r="B78" s="32">
        <v>45992</v>
      </c>
      <c r="C78" s="53">
        <v>1234.270751953125</v>
      </c>
      <c r="D78" s="54">
        <f t="shared" si="2"/>
        <v>-1.12599931118742E-2</v>
      </c>
      <c r="F78" s="53">
        <f>'Data - Hind. Unilever'!F78</f>
        <v>26186.44921875</v>
      </c>
      <c r="G78" s="54">
        <f t="shared" si="3"/>
        <v>-6.2970010979501723E-4</v>
      </c>
    </row>
    <row r="79" spans="2:7" x14ac:dyDescent="0.35">
      <c r="B79" s="32">
        <v>45999</v>
      </c>
      <c r="C79" s="53">
        <v>1225.757934570312</v>
      </c>
      <c r="D79" s="54">
        <f t="shared" si="2"/>
        <v>-6.8970421354813682E-3</v>
      </c>
      <c r="F79" s="53">
        <f>'Data - Hind. Unilever'!F79</f>
        <v>26046.94921875</v>
      </c>
      <c r="G79" s="54">
        <f t="shared" si="3"/>
        <v>-5.3271827285432671E-3</v>
      </c>
    </row>
    <row r="80" spans="2:7" x14ac:dyDescent="0.35">
      <c r="B80" s="32">
        <v>46006</v>
      </c>
      <c r="C80" s="53">
        <v>1231.796142578125</v>
      </c>
      <c r="D80" s="54">
        <f t="shared" si="2"/>
        <v>4.9261015062731506E-3</v>
      </c>
      <c r="F80" s="53">
        <f>'Data - Hind. Unilever'!F80</f>
        <v>25966.400390625</v>
      </c>
      <c r="G80" s="54">
        <f t="shared" si="3"/>
        <v>-3.0924476969846904E-3</v>
      </c>
    </row>
    <row r="81" spans="2:7" x14ac:dyDescent="0.35">
      <c r="B81" s="32">
        <v>46013</v>
      </c>
      <c r="C81" s="53">
        <v>1259.71044921875</v>
      </c>
      <c r="D81" s="54">
        <f t="shared" si="2"/>
        <v>2.2661466192125612E-2</v>
      </c>
      <c r="F81" s="53">
        <f>'Data - Hind. Unilever'!F81</f>
        <v>26042.30078125</v>
      </c>
      <c r="G81" s="54">
        <f t="shared" si="3"/>
        <v>2.9230231947130481E-3</v>
      </c>
    </row>
    <row r="82" spans="2:7" x14ac:dyDescent="0.35">
      <c r="B82" s="32">
        <v>46020</v>
      </c>
      <c r="C82" s="53">
        <v>1266.738525390625</v>
      </c>
      <c r="D82" s="54">
        <f t="shared" si="2"/>
        <v>5.5791203258126476E-3</v>
      </c>
      <c r="F82" s="53">
        <f>'Data - Hind. Unilever'!F82</f>
        <v>26328.55078125</v>
      </c>
      <c r="G82" s="54">
        <f t="shared" si="3"/>
        <v>1.099173235131734E-2</v>
      </c>
    </row>
    <row r="83" spans="2:7" x14ac:dyDescent="0.35">
      <c r="B83" s="32">
        <v>46027</v>
      </c>
      <c r="C83" s="53">
        <v>1285.942016601562</v>
      </c>
      <c r="D83" s="54">
        <f t="shared" si="2"/>
        <v>1.5159790932398831E-2</v>
      </c>
      <c r="F83" s="53">
        <f>'Data - Hind. Unilever'!F83</f>
        <v>25683.30078125</v>
      </c>
      <c r="G83" s="54">
        <f t="shared" si="3"/>
        <v>-2.4507615529659854E-2</v>
      </c>
    </row>
    <row r="84" spans="2:7" x14ac:dyDescent="0.35">
      <c r="B84" s="32">
        <v>46034</v>
      </c>
      <c r="C84" s="53">
        <v>1302.572021484375</v>
      </c>
      <c r="D84" s="54">
        <f t="shared" si="2"/>
        <v>1.2932157646393883E-2</v>
      </c>
      <c r="F84" s="53">
        <f>'Data - Hind. Unilever'!F84</f>
        <v>25694.349609375</v>
      </c>
      <c r="G84" s="54">
        <f t="shared" si="3"/>
        <v>4.3019502123597952E-4</v>
      </c>
    </row>
    <row r="85" spans="2:7" x14ac:dyDescent="0.35">
      <c r="B85" s="32">
        <v>46041</v>
      </c>
      <c r="C85" s="53">
        <v>1280.69580078125</v>
      </c>
      <c r="D85" s="54">
        <f t="shared" si="2"/>
        <v>-1.6794634263827879E-2</v>
      </c>
      <c r="F85" s="53">
        <f>'Data - Hind. Unilever'!F85</f>
        <v>25048.650390625</v>
      </c>
      <c r="G85" s="54">
        <f t="shared" si="3"/>
        <v>-2.5130008292344796E-2</v>
      </c>
    </row>
    <row r="86" spans="2:7" x14ac:dyDescent="0.35">
      <c r="B86" s="32">
        <v>46048</v>
      </c>
      <c r="C86" s="53">
        <v>1269.51025390625</v>
      </c>
      <c r="D86" s="54">
        <f t="shared" si="2"/>
        <v>-8.733960764278792E-3</v>
      </c>
      <c r="F86" s="53">
        <f>'Data - Hind. Unilever'!F86</f>
        <v>24825.44921875</v>
      </c>
      <c r="G86" s="54">
        <f t="shared" si="3"/>
        <v>-8.9107065009194075E-3</v>
      </c>
    </row>
    <row r="87" spans="2:7" x14ac:dyDescent="0.35">
      <c r="B87" s="32">
        <v>46055</v>
      </c>
      <c r="C87" s="53">
        <v>1297.06494140625</v>
      </c>
      <c r="D87" s="54">
        <f t="shared" si="2"/>
        <v>2.1704974351498985E-2</v>
      </c>
      <c r="F87" s="53">
        <f>'Data - Hind. Unilever'!F87</f>
        <v>25693.69921875</v>
      </c>
      <c r="G87" s="54">
        <f t="shared" si="3"/>
        <v>3.4974190893763746E-2</v>
      </c>
    </row>
    <row r="88" spans="2:7" x14ac:dyDescent="0.35">
      <c r="B88" s="32">
        <v>46062</v>
      </c>
      <c r="C88" s="53">
        <v>1276.463989257812</v>
      </c>
      <c r="D88" s="54">
        <f t="shared" si="2"/>
        <v>-1.5882745335867976E-2</v>
      </c>
      <c r="F88" s="53">
        <f>'Data - Hind. Unilever'!F88</f>
        <v>25471.099609375</v>
      </c>
      <c r="G88" s="54">
        <f t="shared" si="3"/>
        <v>-8.6635874219527231E-3</v>
      </c>
    </row>
    <row r="89" spans="2:7" x14ac:dyDescent="0.35">
      <c r="B89" s="32">
        <v>46069</v>
      </c>
      <c r="C89" s="53">
        <v>1287.610473632812</v>
      </c>
      <c r="D89" s="54">
        <f t="shared" si="2"/>
        <v>8.7323140087023354E-3</v>
      </c>
      <c r="F89" s="53">
        <f>'Data - Hind. Unilever'!F89</f>
        <v>25571.25</v>
      </c>
      <c r="G89" s="54">
        <f t="shared" si="3"/>
        <v>3.9319225381277967E-3</v>
      </c>
    </row>
    <row r="90" spans="2:7" x14ac:dyDescent="0.35">
      <c r="B90" s="32">
        <v>46076</v>
      </c>
      <c r="C90" s="53">
        <v>1285.520385742188</v>
      </c>
      <c r="D90" s="54">
        <f t="shared" si="2"/>
        <v>-1.6232299545740903E-3</v>
      </c>
      <c r="F90" s="53">
        <f>'Data - Hind. Unilever'!F90</f>
        <v>25178.650390625</v>
      </c>
      <c r="G90" s="54">
        <f t="shared" si="3"/>
        <v>-1.5353164564696709E-2</v>
      </c>
    </row>
    <row r="91" spans="2:7" x14ac:dyDescent="0.35">
      <c r="B91" s="32">
        <v>46083</v>
      </c>
      <c r="C91" s="53">
        <v>1246.408447265625</v>
      </c>
      <c r="D91" s="54">
        <f t="shared" si="2"/>
        <v>-3.0424985018018158E-2</v>
      </c>
      <c r="F91" s="53">
        <f>'Data - Hind. Unilever'!F91</f>
        <v>24450.44921875</v>
      </c>
      <c r="G91" s="54">
        <f t="shared" si="3"/>
        <v>-2.8921374282480872E-2</v>
      </c>
    </row>
    <row r="92" spans="2:7" x14ac:dyDescent="0.35">
      <c r="B92" s="32">
        <v>46090</v>
      </c>
      <c r="C92" s="53">
        <v>1196.448608398438</v>
      </c>
      <c r="D92" s="54">
        <f t="shared" si="2"/>
        <v>-4.0083039373480789E-2</v>
      </c>
      <c r="F92" s="53">
        <f>'Data - Hind. Unilever'!F92</f>
        <v>23151.099609375</v>
      </c>
      <c r="G92" s="54">
        <f t="shared" si="3"/>
        <v>-5.3142156929312567E-2</v>
      </c>
    </row>
    <row r="93" spans="2:7" x14ac:dyDescent="0.35">
      <c r="B93" s="32">
        <v>46097</v>
      </c>
      <c r="C93" s="53">
        <v>1187.889770507812</v>
      </c>
      <c r="D93" s="54">
        <f t="shared" si="2"/>
        <v>-7.1535357478351713E-3</v>
      </c>
      <c r="F93" s="53">
        <f>'Data - Hind. Unilever'!F93</f>
        <v>23114.5</v>
      </c>
      <c r="G93" s="54">
        <f t="shared" si="3"/>
        <v>-1.5809015551113692E-3</v>
      </c>
    </row>
    <row r="94" spans="2:7" x14ac:dyDescent="0.35">
      <c r="B94" s="32">
        <v>46104</v>
      </c>
      <c r="C94" s="53">
        <v>1187.491577148438</v>
      </c>
      <c r="D94" s="54">
        <f t="shared" si="2"/>
        <v>-3.3521069821473848E-4</v>
      </c>
      <c r="F94" s="53">
        <f>'Data - Hind. Unilever'!F94</f>
        <v>22819.599609375</v>
      </c>
      <c r="G94" s="54">
        <f t="shared" si="3"/>
        <v>-1.2758242255943242E-2</v>
      </c>
    </row>
    <row r="95" spans="2:7" x14ac:dyDescent="0.35">
      <c r="B95" s="32">
        <v>46111</v>
      </c>
      <c r="C95" s="53">
        <v>1185.600830078125</v>
      </c>
      <c r="D95" s="54">
        <f t="shared" si="2"/>
        <v>-1.5922193527075912E-3</v>
      </c>
      <c r="F95" s="53">
        <f>'Data - Hind. Unilever'!F95</f>
        <v>22713.099609375</v>
      </c>
      <c r="G95" s="54">
        <f t="shared" si="3"/>
        <v>-4.6670406940990672E-3</v>
      </c>
    </row>
    <row r="96" spans="2:7" x14ac:dyDescent="0.35">
      <c r="B96" s="32">
        <v>46118</v>
      </c>
      <c r="C96" s="53">
        <v>1243.323364257812</v>
      </c>
      <c r="D96" s="54">
        <f t="shared" si="2"/>
        <v>4.8686313905400569E-2</v>
      </c>
      <c r="F96" s="53">
        <f>'Data - Hind. Unilever'!F96</f>
        <v>24050.599609375</v>
      </c>
      <c r="G96" s="54">
        <f t="shared" si="3"/>
        <v>5.888672277243634E-2</v>
      </c>
    </row>
    <row r="97" spans="2:7" x14ac:dyDescent="0.35">
      <c r="B97" s="32">
        <v>46125</v>
      </c>
      <c r="C97" s="53">
        <v>1279.449584960938</v>
      </c>
      <c r="D97" s="54">
        <f t="shared" si="2"/>
        <v>2.9056174557365422E-2</v>
      </c>
      <c r="F97" s="53">
        <f>'Data - Hind. Unilever'!F97</f>
        <v>24353.55078125</v>
      </c>
      <c r="G97" s="54">
        <f t="shared" si="3"/>
        <v>1.2596408272370407E-2</v>
      </c>
    </row>
    <row r="98" spans="2:7" x14ac:dyDescent="0.35">
      <c r="B98" s="32">
        <v>46132</v>
      </c>
      <c r="C98" s="53">
        <v>1414.50048828125</v>
      </c>
      <c r="D98" s="54">
        <f t="shared" si="2"/>
        <v>0.10555390763945982</v>
      </c>
      <c r="F98" s="53">
        <f>'Data - Hind. Unilever'!F98</f>
        <v>23897.94921875</v>
      </c>
      <c r="G98" s="54">
        <f t="shared" si="3"/>
        <v>-1.8707808425651451E-2</v>
      </c>
    </row>
    <row r="99" spans="2:7" x14ac:dyDescent="0.35">
      <c r="B99" s="32">
        <v>46139</v>
      </c>
      <c r="C99" s="53">
        <v>1451.621948242188</v>
      </c>
      <c r="D99" s="54">
        <f t="shared" si="2"/>
        <v>2.6243511591886426E-2</v>
      </c>
      <c r="F99" s="53">
        <f>'Data - Hind. Unilever'!F99</f>
        <v>23997.55078125</v>
      </c>
      <c r="G99" s="54">
        <f t="shared" si="3"/>
        <v>4.1677870175509391E-3</v>
      </c>
    </row>
    <row r="100" spans="2:7" x14ac:dyDescent="0.35">
      <c r="B100" s="32">
        <v>46146</v>
      </c>
      <c r="C100" s="53">
        <v>1475.30810546875</v>
      </c>
      <c r="D100" s="54">
        <f t="shared" si="2"/>
        <v>1.6317028862262939E-2</v>
      </c>
      <c r="F100" s="53">
        <f>'Data - Hind. Unilever'!F100</f>
        <v>24176.150390625</v>
      </c>
      <c r="G100" s="54">
        <f t="shared" si="3"/>
        <v>7.442409894369062E-3</v>
      </c>
    </row>
    <row r="101" spans="2:7" x14ac:dyDescent="0.35">
      <c r="B101" s="32">
        <v>46153</v>
      </c>
      <c r="C101" s="53">
        <v>1423.656372070312</v>
      </c>
      <c r="D101" s="54">
        <f t="shared" si="2"/>
        <v>-3.5010811102421657E-2</v>
      </c>
      <c r="F101" s="53">
        <f>'Data - Hind. Unilever'!F101</f>
        <v>23643.5</v>
      </c>
      <c r="G101" s="54">
        <f t="shared" si="3"/>
        <v>-2.2032059778696267E-2</v>
      </c>
    </row>
    <row r="102" spans="2:7" x14ac:dyDescent="0.35">
      <c r="B102" s="32">
        <v>46160</v>
      </c>
      <c r="C102" s="53">
        <v>1416.291748046875</v>
      </c>
      <c r="D102" s="54">
        <f t="shared" si="2"/>
        <v>-5.173034847395952E-3</v>
      </c>
      <c r="F102" s="53">
        <f>'Data - Hind. Unilever'!F102</f>
        <v>23719.30078125</v>
      </c>
      <c r="G102" s="54">
        <f t="shared" si="3"/>
        <v>3.2059881679953328E-3</v>
      </c>
    </row>
    <row r="103" spans="2:7" x14ac:dyDescent="0.35">
      <c r="B103" s="32">
        <v>46167</v>
      </c>
      <c r="C103" s="53">
        <v>1414.699462890625</v>
      </c>
      <c r="D103" s="54">
        <f t="shared" si="2"/>
        <v>-1.1242635272328272E-3</v>
      </c>
      <c r="F103" s="53">
        <f>'Data - Hind. Unilever'!F103</f>
        <v>23547.75</v>
      </c>
      <c r="G103" s="54">
        <f t="shared" si="3"/>
        <v>-7.2325395605932208E-3</v>
      </c>
    </row>
    <row r="104" spans="2:7" x14ac:dyDescent="0.35">
      <c r="B104" s="32">
        <v>46174</v>
      </c>
      <c r="C104" s="53">
        <v>1379.568359375</v>
      </c>
      <c r="D104" s="54">
        <f t="shared" si="2"/>
        <v>-2.4832909347291543E-2</v>
      </c>
      <c r="F104" s="53">
        <f>'Data - Hind. Unilever'!F104</f>
        <v>23366.69921875</v>
      </c>
      <c r="G104" s="54">
        <f t="shared" si="3"/>
        <v>-7.6886658491788218E-3</v>
      </c>
    </row>
    <row r="105" spans="2:7" x14ac:dyDescent="0.35">
      <c r="B105" s="32">
        <v>46181</v>
      </c>
      <c r="C105" s="53">
        <v>1369.118530273438</v>
      </c>
      <c r="D105" s="54">
        <f t="shared" si="2"/>
        <v>-7.5747091693928459E-3</v>
      </c>
      <c r="F105" s="53">
        <f>'Data - Hind. Unilever'!F105</f>
        <v>23622.900390625</v>
      </c>
      <c r="G105" s="54">
        <f t="shared" si="3"/>
        <v>1.0964371539024187E-2</v>
      </c>
    </row>
    <row r="106" spans="2:7" x14ac:dyDescent="0.35">
      <c r="B106" s="32">
        <v>46188</v>
      </c>
      <c r="C106" s="53">
        <v>1408.031616210938</v>
      </c>
      <c r="D106" s="54">
        <f t="shared" si="2"/>
        <v>2.8421999320780822E-2</v>
      </c>
      <c r="F106" s="53">
        <f>'Data - Hind. Unilever'!F106</f>
        <v>24013.099609375</v>
      </c>
      <c r="G106" s="54">
        <f t="shared" si="3"/>
        <v>1.6517837026686744E-2</v>
      </c>
    </row>
    <row r="107" spans="2:7" x14ac:dyDescent="0.35">
      <c r="B107" s="32">
        <v>46195</v>
      </c>
      <c r="C107" s="53">
        <v>1395.889892578125</v>
      </c>
      <c r="D107" s="54">
        <f t="shared" si="2"/>
        <v>-8.6231896308456291E-3</v>
      </c>
      <c r="F107" s="53">
        <f>'Data - Hind. Unilever'!F107</f>
        <v>24056</v>
      </c>
      <c r="G107" s="54">
        <f t="shared" si="3"/>
        <v>1.78654115140775E-3</v>
      </c>
    </row>
    <row r="108" spans="2:7" x14ac:dyDescent="0.35">
      <c r="B108" s="32">
        <v>46202</v>
      </c>
      <c r="C108" s="53">
        <v>1452.816284179688</v>
      </c>
      <c r="D108" s="54">
        <f t="shared" si="2"/>
        <v>4.0781434054532273E-2</v>
      </c>
      <c r="F108" s="53">
        <f>'Data - Hind. Unilever'!F108</f>
        <v>24270.849609375</v>
      </c>
      <c r="G108" s="54">
        <f t="shared" si="3"/>
        <v>8.9312275263966345E-3</v>
      </c>
    </row>
    <row r="109" spans="2:7" x14ac:dyDescent="0.35">
      <c r="B109" s="32">
        <v>46209</v>
      </c>
      <c r="C109" s="53">
        <v>1455.199951171875</v>
      </c>
      <c r="D109" s="54">
        <f t="shared" si="2"/>
        <v>1.6407215545033438E-3</v>
      </c>
      <c r="F109" s="53">
        <f>'Data - Hind. Unilever'!F109</f>
        <v>24206.900390625</v>
      </c>
      <c r="G109" s="54">
        <f t="shared" si="3"/>
        <v>-2.6348158296567448E-3</v>
      </c>
    </row>
    <row r="110" spans="2:7" x14ac:dyDescent="0.35">
      <c r="B110" s="32">
        <v>46216</v>
      </c>
      <c r="C110" s="53">
        <v>1427.199951171875</v>
      </c>
      <c r="D110" s="54">
        <f t="shared" si="2"/>
        <v>-1.924134204200012E-2</v>
      </c>
      <c r="F110" s="53">
        <f>'Data - Hind. Unilever'!F110</f>
        <v>24334.30078125</v>
      </c>
      <c r="G110" s="54">
        <f t="shared" si="3"/>
        <v>5.2629782652529045E-3</v>
      </c>
    </row>
    <row r="111" spans="2:7" x14ac:dyDescent="0.35">
      <c r="B111" s="32">
        <v>46223</v>
      </c>
      <c r="C111" s="53">
        <v>1443.5</v>
      </c>
      <c r="D111" s="54">
        <f t="shared" si="2"/>
        <v>1.1420998728833398E-2</v>
      </c>
      <c r="F111" s="53">
        <f>'Data - Hind. Unilever'!F111</f>
        <v>23869.599609375</v>
      </c>
      <c r="G111" s="54">
        <f t="shared" si="3"/>
        <v>-1.909654919006587E-2</v>
      </c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C012-C643-40C0-BC7C-89DE2A910BCF}">
  <sheetPr>
    <tabColor rgb="FF002060"/>
  </sheetPr>
  <dimension ref="B2:T111"/>
  <sheetViews>
    <sheetView showGridLines="0" tabSelected="1" topLeftCell="B1" workbookViewId="0">
      <selection activeCell="B6" sqref="B6:G6"/>
    </sheetView>
  </sheetViews>
  <sheetFormatPr defaultRowHeight="14.5" x14ac:dyDescent="0.35"/>
  <cols>
    <col min="1" max="1" width="1.81640625" customWidth="1"/>
    <col min="2" max="2" width="10.08984375" bestFit="1" customWidth="1"/>
    <col min="3" max="3" width="14.26953125" customWidth="1"/>
    <col min="6" max="6" width="13.81640625" customWidth="1"/>
    <col min="7" max="7" width="11.26953125" customWidth="1"/>
    <col min="9" max="9" width="20.6328125" customWidth="1"/>
    <col min="10" max="10" width="13.26953125" customWidth="1"/>
    <col min="12" max="12" width="16.453125" bestFit="1" customWidth="1"/>
    <col min="13" max="13" width="12.453125" bestFit="1" customWidth="1"/>
    <col min="14" max="14" width="13" bestFit="1" customWidth="1"/>
    <col min="15" max="15" width="12.453125" bestFit="1" customWidth="1"/>
    <col min="16" max="16" width="11.81640625" bestFit="1" customWidth="1"/>
    <col min="17" max="17" width="12.7265625" bestFit="1" customWidth="1"/>
    <col min="18" max="18" width="11.81640625" bestFit="1" customWidth="1"/>
    <col min="19" max="19" width="12.453125" bestFit="1" customWidth="1"/>
    <col min="20" max="20" width="12" bestFit="1" customWidth="1"/>
  </cols>
  <sheetData>
    <row r="2" spans="2:17" x14ac:dyDescent="0.35">
      <c r="B2" s="17" t="str">
        <f>'Data - Hind. Unilever'!B2</f>
        <v xml:space="preserve">Regression Beta - 2 Years Weekly </v>
      </c>
    </row>
    <row r="4" spans="2:17" x14ac:dyDescent="0.35">
      <c r="B4" s="68" t="s">
        <v>90</v>
      </c>
      <c r="C4" s="68"/>
      <c r="D4" s="68"/>
      <c r="E4" s="40"/>
      <c r="F4" s="68" t="s">
        <v>56</v>
      </c>
      <c r="G4" s="68"/>
      <c r="I4" s="68" t="s">
        <v>82</v>
      </c>
      <c r="J4" s="68"/>
      <c r="L4" t="s">
        <v>57</v>
      </c>
    </row>
    <row r="5" spans="2:17" ht="15" thickBot="1" x14ac:dyDescent="0.4"/>
    <row r="6" spans="2:17" x14ac:dyDescent="0.35">
      <c r="B6" s="36" t="s">
        <v>52</v>
      </c>
      <c r="C6" s="37" t="s">
        <v>53</v>
      </c>
      <c r="D6" s="18" t="s">
        <v>55</v>
      </c>
      <c r="F6" s="37" t="s">
        <v>53</v>
      </c>
      <c r="G6" s="18" t="s">
        <v>55</v>
      </c>
      <c r="I6" t="s">
        <v>83</v>
      </c>
      <c r="J6" s="46">
        <f>M21</f>
        <v>0.51192831314280296</v>
      </c>
      <c r="L6" s="44" t="s">
        <v>58</v>
      </c>
      <c r="M6" s="44"/>
    </row>
    <row r="7" spans="2:17" x14ac:dyDescent="0.35">
      <c r="B7" s="52">
        <v>45495</v>
      </c>
      <c r="C7" s="41">
        <v>5722.349609375</v>
      </c>
      <c r="F7" s="41">
        <f>'Data - Hind. Unilever'!F7</f>
        <v>24834.849609375</v>
      </c>
      <c r="I7" t="s">
        <v>84</v>
      </c>
      <c r="J7" s="47">
        <v>0.75</v>
      </c>
      <c r="L7" t="s">
        <v>59</v>
      </c>
      <c r="M7">
        <v>0.32575591324238379</v>
      </c>
    </row>
    <row r="8" spans="2:17" x14ac:dyDescent="0.35">
      <c r="B8" s="52">
        <v>45502</v>
      </c>
      <c r="C8" s="41">
        <v>5573.80517578125</v>
      </c>
      <c r="D8" s="6">
        <f>IFERROR(C8/C7-1,0)</f>
        <v>-2.5958643517758451E-2</v>
      </c>
      <c r="F8" s="41">
        <f>'Data - Hind. Unilever'!F8</f>
        <v>24717.69921875</v>
      </c>
      <c r="G8" s="6">
        <f>IFERROR(F8/F7-1,0)</f>
        <v>-4.7171773724281607E-3</v>
      </c>
      <c r="I8" s="6"/>
      <c r="J8" s="48"/>
      <c r="L8" t="s">
        <v>60</v>
      </c>
      <c r="M8">
        <v>0.10611691501237948</v>
      </c>
    </row>
    <row r="9" spans="2:17" x14ac:dyDescent="0.35">
      <c r="B9" s="52">
        <v>45509</v>
      </c>
      <c r="C9" s="41">
        <v>5666.0458984375</v>
      </c>
      <c r="D9" s="6">
        <f t="shared" ref="D9:D72" si="0">IFERROR(C9/C8-1,0)</f>
        <v>1.6548967850014806E-2</v>
      </c>
      <c r="F9" s="41">
        <f>'Data - Hind. Unilever'!F9</f>
        <v>24367.5</v>
      </c>
      <c r="G9" s="6">
        <f t="shared" ref="G9:G72" si="1">IFERROR(F9/F8-1,0)</f>
        <v>-1.4167953726225035E-2</v>
      </c>
      <c r="I9" s="6"/>
      <c r="J9" s="47"/>
      <c r="L9" t="s">
        <v>61</v>
      </c>
      <c r="M9">
        <v>9.7353355355638091E-2</v>
      </c>
    </row>
    <row r="10" spans="2:17" x14ac:dyDescent="0.35">
      <c r="B10" s="52">
        <v>45516</v>
      </c>
      <c r="C10" s="41">
        <v>5655.53369140625</v>
      </c>
      <c r="D10" s="6">
        <f t="shared" si="0"/>
        <v>-1.8552986014724882E-3</v>
      </c>
      <c r="F10" s="41">
        <f>'Data - Hind. Unilever'!F10</f>
        <v>24541.150390625</v>
      </c>
      <c r="G10" s="6">
        <f t="shared" si="1"/>
        <v>7.126311300913013E-3</v>
      </c>
      <c r="I10" s="6" t="s">
        <v>85</v>
      </c>
      <c r="J10" s="48">
        <v>1</v>
      </c>
      <c r="L10" t="s">
        <v>62</v>
      </c>
      <c r="M10">
        <v>2.7518435773735809E-2</v>
      </c>
    </row>
    <row r="11" spans="2:17" ht="15" thickBot="1" x14ac:dyDescent="0.4">
      <c r="B11" s="52">
        <v>45523</v>
      </c>
      <c r="C11" s="41">
        <v>5717.71875</v>
      </c>
      <c r="D11" s="6">
        <f t="shared" si="0"/>
        <v>1.0995435972425138E-2</v>
      </c>
      <c r="F11" s="41">
        <f>'Data - Hind. Unilever'!F11</f>
        <v>24823.150390625</v>
      </c>
      <c r="G11" s="6">
        <f t="shared" si="1"/>
        <v>1.1490903870086111E-2</v>
      </c>
      <c r="I11" s="6" t="s">
        <v>86</v>
      </c>
      <c r="J11" s="47">
        <v>0.25</v>
      </c>
      <c r="L11" s="42" t="s">
        <v>63</v>
      </c>
      <c r="M11" s="42">
        <v>104</v>
      </c>
    </row>
    <row r="12" spans="2:17" x14ac:dyDescent="0.35">
      <c r="B12" s="52">
        <v>45530</v>
      </c>
      <c r="C12" s="41">
        <v>5779.50927734375</v>
      </c>
      <c r="D12" s="6">
        <f t="shared" si="0"/>
        <v>1.0806849732465373E-2</v>
      </c>
      <c r="F12" s="41">
        <f>'Data - Hind. Unilever'!F12</f>
        <v>25235.900390625</v>
      </c>
      <c r="G12" s="6">
        <f t="shared" si="1"/>
        <v>1.6627623549180237E-2</v>
      </c>
      <c r="I12" s="6"/>
      <c r="J12" s="6"/>
    </row>
    <row r="13" spans="2:17" ht="15" thickBot="1" x14ac:dyDescent="0.4">
      <c r="B13" s="52">
        <v>45537</v>
      </c>
      <c r="C13" s="41">
        <v>5767.96044921875</v>
      </c>
      <c r="D13" s="6">
        <f t="shared" si="0"/>
        <v>-1.9982368001851825E-3</v>
      </c>
      <c r="F13" s="41">
        <f>'Data - Hind. Unilever'!F13</f>
        <v>24852.150390625</v>
      </c>
      <c r="G13" s="6">
        <f t="shared" si="1"/>
        <v>-1.5206511123437516E-2</v>
      </c>
      <c r="I13" s="49" t="s">
        <v>87</v>
      </c>
      <c r="J13" s="50">
        <f>IFERROR((J6*J7)+(J10*J11),0)</f>
        <v>0.63394623485710222</v>
      </c>
      <c r="L13" t="s">
        <v>64</v>
      </c>
    </row>
    <row r="14" spans="2:17" x14ac:dyDescent="0.35">
      <c r="B14" s="52">
        <v>45544</v>
      </c>
      <c r="C14" s="41">
        <v>6053.76513671875</v>
      </c>
      <c r="D14" s="6">
        <f t="shared" si="0"/>
        <v>4.9550389607597056E-2</v>
      </c>
      <c r="F14" s="41">
        <f>'Data - Hind. Unilever'!F14</f>
        <v>25356.5</v>
      </c>
      <c r="G14" s="6">
        <f t="shared" si="1"/>
        <v>2.0294002790408605E-2</v>
      </c>
      <c r="L14" s="43"/>
      <c r="M14" s="43" t="s">
        <v>69</v>
      </c>
      <c r="N14" s="43" t="s">
        <v>70</v>
      </c>
      <c r="O14" s="43" t="s">
        <v>71</v>
      </c>
      <c r="P14" s="43" t="s">
        <v>72</v>
      </c>
      <c r="Q14" s="43" t="s">
        <v>73</v>
      </c>
    </row>
    <row r="15" spans="2:17" x14ac:dyDescent="0.35">
      <c r="B15" s="52">
        <v>45551</v>
      </c>
      <c r="C15" s="41">
        <v>6130.212890625</v>
      </c>
      <c r="D15" s="6">
        <f t="shared" si="0"/>
        <v>1.2628133430971911E-2</v>
      </c>
      <c r="F15" s="41">
        <f>'Data - Hind. Unilever'!F15</f>
        <v>25790.94921875</v>
      </c>
      <c r="G15" s="6">
        <f t="shared" si="1"/>
        <v>1.7133643000808441E-2</v>
      </c>
      <c r="L15" t="s">
        <v>65</v>
      </c>
      <c r="M15">
        <v>1</v>
      </c>
      <c r="N15">
        <v>9.169624593356171E-3</v>
      </c>
      <c r="O15">
        <v>9.169624593356171E-3</v>
      </c>
      <c r="P15">
        <v>12.108882596668231</v>
      </c>
      <c r="Q15">
        <v>7.3961400097908127E-4</v>
      </c>
    </row>
    <row r="16" spans="2:17" x14ac:dyDescent="0.35">
      <c r="B16" s="52">
        <v>45558</v>
      </c>
      <c r="C16" s="41">
        <v>6187.70947265625</v>
      </c>
      <c r="D16" s="6">
        <f t="shared" si="0"/>
        <v>9.3792145651547809E-3</v>
      </c>
      <c r="F16" s="41">
        <f>'Data - Hind. Unilever'!F16</f>
        <v>26178.94921875</v>
      </c>
      <c r="G16" s="6">
        <f t="shared" si="1"/>
        <v>1.5044037220542705E-2</v>
      </c>
      <c r="L16" t="s">
        <v>66</v>
      </c>
      <c r="M16">
        <v>102</v>
      </c>
      <c r="N16">
        <v>7.7240959358188713E-2</v>
      </c>
      <c r="O16">
        <v>7.5726430743322266E-4</v>
      </c>
    </row>
    <row r="17" spans="2:20" ht="15" thickBot="1" x14ac:dyDescent="0.4">
      <c r="B17" s="52">
        <v>45565</v>
      </c>
      <c r="C17" s="41">
        <v>6125.72216796875</v>
      </c>
      <c r="D17" s="6">
        <f t="shared" si="0"/>
        <v>-1.001781110787836E-2</v>
      </c>
      <c r="F17" s="41">
        <f>'Data - Hind. Unilever'!F17</f>
        <v>25014.599609375</v>
      </c>
      <c r="G17" s="6">
        <f t="shared" si="1"/>
        <v>-4.4476560141728849E-2</v>
      </c>
      <c r="L17" s="42" t="s">
        <v>67</v>
      </c>
      <c r="M17" s="42">
        <v>103</v>
      </c>
      <c r="N17" s="42">
        <v>8.6410583951544884E-2</v>
      </c>
      <c r="O17" s="42"/>
      <c r="P17" s="42"/>
      <c r="Q17" s="42"/>
    </row>
    <row r="18" spans="2:20" ht="15" thickBot="1" x14ac:dyDescent="0.4">
      <c r="B18" s="52">
        <v>45572</v>
      </c>
      <c r="C18" s="41">
        <v>5901.1650390625</v>
      </c>
      <c r="D18" s="6">
        <f t="shared" si="0"/>
        <v>-3.6658066224494079E-2</v>
      </c>
      <c r="F18" s="41">
        <f>'Data - Hind. Unilever'!F18</f>
        <v>24964.25</v>
      </c>
      <c r="G18" s="6">
        <f t="shared" si="1"/>
        <v>-2.0128089260372795E-3</v>
      </c>
    </row>
    <row r="19" spans="2:20" x14ac:dyDescent="0.35">
      <c r="B19" s="52">
        <v>45579</v>
      </c>
      <c r="C19" s="41">
        <v>5811.04638671875</v>
      </c>
      <c r="D19" s="6">
        <f t="shared" si="0"/>
        <v>-1.5271332312723596E-2</v>
      </c>
      <c r="F19" s="41">
        <f>'Data - Hind. Unilever'!F19</f>
        <v>24854.05078125</v>
      </c>
      <c r="G19" s="6">
        <f t="shared" si="1"/>
        <v>-4.4142811720760955E-3</v>
      </c>
      <c r="L19" s="43"/>
      <c r="M19" s="43" t="s">
        <v>74</v>
      </c>
      <c r="N19" s="43" t="s">
        <v>62</v>
      </c>
      <c r="O19" s="43" t="s">
        <v>75</v>
      </c>
      <c r="P19" s="43" t="s">
        <v>76</v>
      </c>
      <c r="Q19" s="43" t="s">
        <v>77</v>
      </c>
      <c r="R19" s="43" t="s">
        <v>78</v>
      </c>
      <c r="S19" s="43" t="s">
        <v>79</v>
      </c>
      <c r="T19" s="43" t="s">
        <v>80</v>
      </c>
    </row>
    <row r="20" spans="2:20" x14ac:dyDescent="0.35">
      <c r="B20" s="52">
        <v>45586</v>
      </c>
      <c r="C20" s="41">
        <v>5596.0634765625</v>
      </c>
      <c r="D20" s="6">
        <f t="shared" si="0"/>
        <v>-3.6995559121262067E-2</v>
      </c>
      <c r="F20" s="41">
        <f>'Data - Hind. Unilever'!F20</f>
        <v>24180.80078125</v>
      </c>
      <c r="G20" s="6">
        <f t="shared" si="1"/>
        <v>-2.7088139713140946E-2</v>
      </c>
      <c r="L20" t="s">
        <v>68</v>
      </c>
      <c r="M20">
        <v>-5.9181317465761078E-5</v>
      </c>
      <c r="N20">
        <v>2.6985862849530323E-3</v>
      </c>
      <c r="O20">
        <v>-2.1930489232732133E-2</v>
      </c>
      <c r="P20">
        <v>0.98254624806068536</v>
      </c>
      <c r="Q20">
        <v>-5.4118144184929209E-3</v>
      </c>
      <c r="R20">
        <v>5.2934517835613983E-3</v>
      </c>
      <c r="S20">
        <v>-5.4118144184929209E-3</v>
      </c>
      <c r="T20">
        <v>5.2934517835613983E-3</v>
      </c>
    </row>
    <row r="21" spans="2:20" ht="15" thickBot="1" x14ac:dyDescent="0.4">
      <c r="B21" s="52">
        <v>45593</v>
      </c>
      <c r="C21" s="41">
        <v>5619.4072265625</v>
      </c>
      <c r="D21" s="6">
        <f t="shared" si="0"/>
        <v>4.1714591154600189E-3</v>
      </c>
      <c r="F21" s="41">
        <f>'Data - Hind. Unilever'!F21</f>
        <v>24304.349609375</v>
      </c>
      <c r="G21" s="6">
        <f t="shared" si="1"/>
        <v>5.1093770319137199E-3</v>
      </c>
      <c r="L21" s="42" t="s">
        <v>81</v>
      </c>
      <c r="M21" s="42">
        <v>0.51192831314280296</v>
      </c>
      <c r="N21" s="42">
        <v>0.1471150539759232</v>
      </c>
      <c r="O21" s="42">
        <v>3.4797819754502144</v>
      </c>
      <c r="P21" s="42">
        <v>7.3961400097909624E-4</v>
      </c>
      <c r="Q21" s="42">
        <v>0.22012630111833698</v>
      </c>
      <c r="R21" s="42">
        <v>0.80373032516726894</v>
      </c>
      <c r="S21" s="42">
        <v>0.22012630111833698</v>
      </c>
      <c r="T21" s="42">
        <v>0.80373032516726894</v>
      </c>
    </row>
    <row r="22" spans="2:20" x14ac:dyDescent="0.35">
      <c r="B22" s="52">
        <v>45600</v>
      </c>
      <c r="C22" s="41">
        <v>5672.8076171875</v>
      </c>
      <c r="D22" s="6">
        <f t="shared" si="0"/>
        <v>9.5028511855450581E-3</v>
      </c>
      <c r="F22" s="41">
        <f>'Data - Hind. Unilever'!F22</f>
        <v>24148.19921875</v>
      </c>
      <c r="G22" s="6">
        <f t="shared" si="1"/>
        <v>-6.424791987223899E-3</v>
      </c>
      <c r="M22">
        <f>SLOPE(D8:D111,G8:G111)</f>
        <v>0.51192831314280296</v>
      </c>
    </row>
    <row r="23" spans="2:20" x14ac:dyDescent="0.35">
      <c r="B23" s="52">
        <v>45607</v>
      </c>
      <c r="C23" s="41">
        <v>4852.01416015625</v>
      </c>
      <c r="D23" s="6">
        <f t="shared" si="0"/>
        <v>-0.14468910501114229</v>
      </c>
      <c r="F23" s="41">
        <f>'Data - Hind. Unilever'!F23</f>
        <v>23532.69921875</v>
      </c>
      <c r="G23" s="6">
        <f t="shared" si="1"/>
        <v>-2.5488443027341434E-2</v>
      </c>
    </row>
    <row r="24" spans="2:20" x14ac:dyDescent="0.35">
      <c r="B24" s="52">
        <v>45614</v>
      </c>
      <c r="C24" s="41">
        <v>4785.63427734375</v>
      </c>
      <c r="D24" s="6">
        <f t="shared" si="0"/>
        <v>-1.3680892227726393E-2</v>
      </c>
      <c r="F24" s="41">
        <f>'Data - Hind. Unilever'!F24</f>
        <v>23907.25</v>
      </c>
      <c r="G24" s="6">
        <f t="shared" si="1"/>
        <v>1.5916184444815906E-2</v>
      </c>
    </row>
    <row r="25" spans="2:20" x14ac:dyDescent="0.35">
      <c r="B25" s="52">
        <v>45621</v>
      </c>
      <c r="C25" s="41">
        <v>4877.2333984375</v>
      </c>
      <c r="D25" s="6">
        <f t="shared" si="0"/>
        <v>1.9140434848396337E-2</v>
      </c>
      <c r="F25" s="41">
        <f>'Data - Hind. Unilever'!F25</f>
        <v>24131.099609375</v>
      </c>
      <c r="G25" s="6">
        <f t="shared" si="1"/>
        <v>9.3632521254012335E-3</v>
      </c>
    </row>
    <row r="26" spans="2:20" x14ac:dyDescent="0.35">
      <c r="B26" s="52">
        <v>45628</v>
      </c>
      <c r="C26" s="41">
        <v>4807.84326171875</v>
      </c>
      <c r="D26" s="6">
        <f t="shared" si="0"/>
        <v>-1.4227356177168082E-2</v>
      </c>
      <c r="F26" s="41">
        <f>'Data - Hind. Unilever'!F26</f>
        <v>24677.80078125</v>
      </c>
      <c r="G26" s="6">
        <f t="shared" si="1"/>
        <v>2.2655460411037609E-2</v>
      </c>
    </row>
    <row r="27" spans="2:20" x14ac:dyDescent="0.35">
      <c r="B27" s="52">
        <v>45635</v>
      </c>
      <c r="C27" s="41">
        <v>4787.361328125</v>
      </c>
      <c r="D27" s="6">
        <f t="shared" si="0"/>
        <v>-4.2601084267518408E-3</v>
      </c>
      <c r="F27" s="41">
        <f>'Data - Hind. Unilever'!F27</f>
        <v>24768.30078125</v>
      </c>
      <c r="G27" s="6">
        <f t="shared" si="1"/>
        <v>3.667263578396307E-3</v>
      </c>
    </row>
    <row r="28" spans="2:20" x14ac:dyDescent="0.35">
      <c r="B28" s="52">
        <v>45642</v>
      </c>
      <c r="C28" s="41">
        <v>4637.32763671875</v>
      </c>
      <c r="D28" s="6">
        <f t="shared" si="0"/>
        <v>-3.1339537821142849E-2</v>
      </c>
      <c r="F28" s="41">
        <f>'Data - Hind. Unilever'!F28</f>
        <v>23587.5</v>
      </c>
      <c r="G28" s="6">
        <f t="shared" si="1"/>
        <v>-4.7673871198458895E-2</v>
      </c>
    </row>
    <row r="29" spans="2:20" x14ac:dyDescent="0.35">
      <c r="B29" s="52">
        <v>45649</v>
      </c>
      <c r="C29" s="41">
        <v>4707.6064453125</v>
      </c>
      <c r="D29" s="6">
        <f t="shared" si="0"/>
        <v>1.5155023345186258E-2</v>
      </c>
      <c r="F29" s="41">
        <f>'Data - Hind. Unilever'!F29</f>
        <v>23813.400390625</v>
      </c>
      <c r="G29" s="6">
        <f t="shared" si="1"/>
        <v>9.5771230789614137E-3</v>
      </c>
    </row>
    <row r="30" spans="2:20" x14ac:dyDescent="0.35">
      <c r="B30" s="52">
        <v>45656</v>
      </c>
      <c r="C30" s="41">
        <v>4771.568359375</v>
      </c>
      <c r="D30" s="6">
        <f t="shared" si="0"/>
        <v>1.3586928900182205E-2</v>
      </c>
      <c r="F30" s="41">
        <f>'Data - Hind. Unilever'!F30</f>
        <v>24004.75</v>
      </c>
      <c r="G30" s="6">
        <f t="shared" si="1"/>
        <v>8.0353753028203911E-3</v>
      </c>
    </row>
    <row r="31" spans="2:20" x14ac:dyDescent="0.35">
      <c r="B31" s="52">
        <v>45663</v>
      </c>
      <c r="C31" s="41">
        <v>4875.30908203125</v>
      </c>
      <c r="D31" s="6">
        <f t="shared" si="0"/>
        <v>2.1741430666590844E-2</v>
      </c>
      <c r="F31" s="41">
        <f>'Data - Hind. Unilever'!F31</f>
        <v>23431.5</v>
      </c>
      <c r="G31" s="6">
        <f t="shared" si="1"/>
        <v>-2.3880690280048689E-2</v>
      </c>
    </row>
    <row r="32" spans="2:20" x14ac:dyDescent="0.35">
      <c r="B32" s="52">
        <v>45670</v>
      </c>
      <c r="C32" s="41">
        <v>4791.60595703125</v>
      </c>
      <c r="D32" s="6">
        <f t="shared" si="0"/>
        <v>-1.7168783269249865E-2</v>
      </c>
      <c r="F32" s="41">
        <f>'Data - Hind. Unilever'!F32</f>
        <v>23203.19921875</v>
      </c>
      <c r="G32" s="6">
        <f t="shared" si="1"/>
        <v>-9.7433276252053558E-3</v>
      </c>
    </row>
    <row r="33" spans="2:7" x14ac:dyDescent="0.35">
      <c r="B33" s="52">
        <v>45677</v>
      </c>
      <c r="C33" s="41">
        <v>5035.55859375</v>
      </c>
      <c r="D33" s="6">
        <f t="shared" si="0"/>
        <v>5.0912499672635114E-2</v>
      </c>
      <c r="F33" s="41">
        <f>'Data - Hind. Unilever'!F33</f>
        <v>23092.19921875</v>
      </c>
      <c r="G33" s="6">
        <f t="shared" si="1"/>
        <v>-4.7838230820473893E-3</v>
      </c>
    </row>
    <row r="34" spans="2:7" x14ac:dyDescent="0.35">
      <c r="B34" s="52">
        <v>45684</v>
      </c>
      <c r="C34" s="41">
        <v>5134.06787109375</v>
      </c>
      <c r="D34" s="6">
        <f t="shared" si="0"/>
        <v>1.9562730829111308E-2</v>
      </c>
      <c r="F34" s="41">
        <f>'Data - Hind. Unilever'!F34</f>
        <v>23482.150390625</v>
      </c>
      <c r="G34" s="6">
        <f t="shared" si="1"/>
        <v>1.688670568710382E-2</v>
      </c>
    </row>
    <row r="35" spans="2:7" x14ac:dyDescent="0.35">
      <c r="B35" s="52">
        <v>45691</v>
      </c>
      <c r="C35" s="41">
        <v>4807.49755859375</v>
      </c>
      <c r="D35" s="6">
        <f t="shared" si="0"/>
        <v>-6.360849149242509E-2</v>
      </c>
      <c r="F35" s="41">
        <f>'Data - Hind. Unilever'!F35</f>
        <v>23559.94921875</v>
      </c>
      <c r="G35" s="6">
        <f t="shared" si="1"/>
        <v>3.313104925691146E-3</v>
      </c>
    </row>
    <row r="36" spans="2:7" x14ac:dyDescent="0.35">
      <c r="B36" s="52">
        <v>45698</v>
      </c>
      <c r="C36" s="41">
        <v>4875.7529296875</v>
      </c>
      <c r="D36" s="6">
        <f t="shared" si="0"/>
        <v>1.4197692304957821E-2</v>
      </c>
      <c r="F36" s="41">
        <f>'Data - Hind. Unilever'!F36</f>
        <v>22929.25</v>
      </c>
      <c r="G36" s="6">
        <f t="shared" si="1"/>
        <v>-2.6769973606227571E-2</v>
      </c>
    </row>
    <row r="37" spans="2:7" x14ac:dyDescent="0.35">
      <c r="B37" s="52">
        <v>45705</v>
      </c>
      <c r="C37" s="41">
        <v>4769.39697265625</v>
      </c>
      <c r="D37" s="6">
        <f t="shared" si="0"/>
        <v>-2.1813237578891531E-2</v>
      </c>
      <c r="F37" s="41">
        <f>'Data - Hind. Unilever'!F37</f>
        <v>22795.900390625</v>
      </c>
      <c r="G37" s="6">
        <f t="shared" si="1"/>
        <v>-5.8156986981693359E-3</v>
      </c>
    </row>
    <row r="38" spans="2:7" x14ac:dyDescent="0.35">
      <c r="B38" s="52">
        <v>45712</v>
      </c>
      <c r="C38" s="41">
        <v>4536.005859375</v>
      </c>
      <c r="D38" s="6">
        <f t="shared" si="0"/>
        <v>-4.8935140987282133E-2</v>
      </c>
      <c r="F38" s="41">
        <f>'Data - Hind. Unilever'!F38</f>
        <v>22124.69921875</v>
      </c>
      <c r="G38" s="6">
        <f t="shared" si="1"/>
        <v>-2.9443942128780209E-2</v>
      </c>
    </row>
    <row r="39" spans="2:7" x14ac:dyDescent="0.35">
      <c r="B39" s="52">
        <v>45719</v>
      </c>
      <c r="C39" s="41">
        <v>4686.8291015625</v>
      </c>
      <c r="D39" s="6">
        <f t="shared" si="0"/>
        <v>3.3250230899896094E-2</v>
      </c>
      <c r="F39" s="41">
        <f>'Data - Hind. Unilever'!F39</f>
        <v>22552.5</v>
      </c>
      <c r="G39" s="6">
        <f t="shared" si="1"/>
        <v>1.9335891395416249E-2</v>
      </c>
    </row>
    <row r="40" spans="2:7" x14ac:dyDescent="0.35">
      <c r="B40" s="52">
        <v>45726</v>
      </c>
      <c r="C40" s="41">
        <v>4667.08740234375</v>
      </c>
      <c r="D40" s="6">
        <f t="shared" si="0"/>
        <v>-4.2121653661680858E-3</v>
      </c>
      <c r="F40" s="41">
        <f>'Data - Hind. Unilever'!F40</f>
        <v>22397.19921875</v>
      </c>
      <c r="G40" s="6">
        <f t="shared" si="1"/>
        <v>-6.8861891697150623E-3</v>
      </c>
    </row>
    <row r="41" spans="2:7" x14ac:dyDescent="0.35">
      <c r="B41" s="52">
        <v>45733</v>
      </c>
      <c r="C41" s="41">
        <v>4751.728515625</v>
      </c>
      <c r="D41" s="6">
        <f t="shared" si="0"/>
        <v>1.8135746341228609E-2</v>
      </c>
      <c r="F41" s="41">
        <f>'Data - Hind. Unilever'!F41</f>
        <v>23350.400390625</v>
      </c>
      <c r="G41" s="6">
        <f t="shared" si="1"/>
        <v>4.2558945096895062E-2</v>
      </c>
    </row>
    <row r="42" spans="2:7" x14ac:dyDescent="0.35">
      <c r="B42" s="52">
        <v>45740</v>
      </c>
      <c r="C42" s="41">
        <v>4873.03857421875</v>
      </c>
      <c r="D42" s="6">
        <f t="shared" si="0"/>
        <v>2.5529669507601049E-2</v>
      </c>
      <c r="F42" s="41">
        <f>'Data - Hind. Unilever'!F42</f>
        <v>23519.349609375</v>
      </c>
      <c r="G42" s="6">
        <f t="shared" si="1"/>
        <v>7.2353885125597817E-3</v>
      </c>
    </row>
    <row r="43" spans="2:7" x14ac:dyDescent="0.35">
      <c r="B43" s="52">
        <v>45747</v>
      </c>
      <c r="C43" s="41">
        <v>4958.41943359375</v>
      </c>
      <c r="D43" s="6">
        <f t="shared" si="0"/>
        <v>1.7521071929681664E-2</v>
      </c>
      <c r="F43" s="41">
        <f>'Data - Hind. Unilever'!F43</f>
        <v>22904.44921875</v>
      </c>
      <c r="G43" s="6">
        <f t="shared" si="1"/>
        <v>-2.6144447054772924E-2</v>
      </c>
    </row>
    <row r="44" spans="2:7" x14ac:dyDescent="0.35">
      <c r="B44" s="52">
        <v>45754</v>
      </c>
      <c r="C44" s="41">
        <v>5280.99267578125</v>
      </c>
      <c r="D44" s="6">
        <f t="shared" si="0"/>
        <v>6.505565866454055E-2</v>
      </c>
      <c r="F44" s="41">
        <f>'Data - Hind. Unilever'!F44</f>
        <v>22828.55078125</v>
      </c>
      <c r="G44" s="6">
        <f t="shared" si="1"/>
        <v>-3.3136984336592512E-3</v>
      </c>
    </row>
    <row r="45" spans="2:7" x14ac:dyDescent="0.35">
      <c r="B45" s="52">
        <v>45761</v>
      </c>
      <c r="C45" s="41">
        <v>5384.0419921875</v>
      </c>
      <c r="D45" s="6">
        <f t="shared" si="0"/>
        <v>1.9513247363291519E-2</v>
      </c>
      <c r="F45" s="41">
        <f>'Data - Hind. Unilever'!F45</f>
        <v>23851.650390625</v>
      </c>
      <c r="G45" s="6">
        <f t="shared" si="1"/>
        <v>4.4816669230502093E-2</v>
      </c>
    </row>
    <row r="46" spans="2:7" x14ac:dyDescent="0.35">
      <c r="B46" s="52">
        <v>45768</v>
      </c>
      <c r="C46" s="41">
        <v>5350.3828125</v>
      </c>
      <c r="D46" s="6">
        <f t="shared" si="0"/>
        <v>-6.251656234542935E-3</v>
      </c>
      <c r="F46" s="41">
        <f>'Data - Hind. Unilever'!F46</f>
        <v>24039.349609375</v>
      </c>
      <c r="G46" s="6">
        <f t="shared" si="1"/>
        <v>7.8694436517390276E-3</v>
      </c>
    </row>
    <row r="47" spans="2:7" x14ac:dyDescent="0.35">
      <c r="B47" s="52">
        <v>45775</v>
      </c>
      <c r="C47" s="41">
        <v>5232.4287109375</v>
      </c>
      <c r="D47" s="6">
        <f t="shared" si="0"/>
        <v>-2.2045918151300525E-2</v>
      </c>
      <c r="F47" s="41">
        <f>'Data - Hind. Unilever'!F47</f>
        <v>24346.69921875</v>
      </c>
      <c r="G47" s="6">
        <f t="shared" si="1"/>
        <v>1.2785271414129218E-2</v>
      </c>
    </row>
    <row r="48" spans="2:7" x14ac:dyDescent="0.35">
      <c r="B48" s="52">
        <v>45782</v>
      </c>
      <c r="C48" s="41">
        <v>5365.6826171875</v>
      </c>
      <c r="D48" s="6">
        <f t="shared" si="0"/>
        <v>2.5466932014086563E-2</v>
      </c>
      <c r="F48" s="41">
        <f>'Data - Hind. Unilever'!F48</f>
        <v>24008</v>
      </c>
      <c r="G48" s="6">
        <f t="shared" si="1"/>
        <v>-1.391150462355728E-2</v>
      </c>
    </row>
    <row r="49" spans="2:7" x14ac:dyDescent="0.35">
      <c r="B49" s="52">
        <v>45789</v>
      </c>
      <c r="C49" s="41">
        <v>5430.33544921875</v>
      </c>
      <c r="D49" s="6">
        <f t="shared" si="0"/>
        <v>1.2049320961353915E-2</v>
      </c>
      <c r="F49" s="41">
        <f>'Data - Hind. Unilever'!F49</f>
        <v>25019.80078125</v>
      </c>
      <c r="G49" s="6">
        <f t="shared" si="1"/>
        <v>4.2144317779490237E-2</v>
      </c>
    </row>
    <row r="50" spans="2:7" x14ac:dyDescent="0.35">
      <c r="B50" s="52">
        <v>45796</v>
      </c>
      <c r="C50" s="41">
        <v>5415.529296875</v>
      </c>
      <c r="D50" s="6">
        <f t="shared" si="0"/>
        <v>-2.726563116074221E-3</v>
      </c>
      <c r="F50" s="41">
        <f>'Data - Hind. Unilever'!F50</f>
        <v>24853.150390625</v>
      </c>
      <c r="G50" s="6">
        <f t="shared" si="1"/>
        <v>-6.6607401106841824E-3</v>
      </c>
    </row>
    <row r="51" spans="2:7" x14ac:dyDescent="0.35">
      <c r="B51" s="52">
        <v>45803</v>
      </c>
      <c r="C51" s="41">
        <v>5439.21875</v>
      </c>
      <c r="D51" s="6">
        <f t="shared" si="0"/>
        <v>4.374356009609226E-3</v>
      </c>
      <c r="F51" s="41">
        <f>'Data - Hind. Unilever'!F51</f>
        <v>24750.69921875</v>
      </c>
      <c r="G51" s="6">
        <f t="shared" si="1"/>
        <v>-4.1222609715364511E-3</v>
      </c>
    </row>
    <row r="52" spans="2:7" x14ac:dyDescent="0.35">
      <c r="B52" s="52">
        <v>45810</v>
      </c>
      <c r="C52" s="41">
        <v>5534.9638671875</v>
      </c>
      <c r="D52" s="6">
        <f t="shared" si="0"/>
        <v>1.7602733331418152E-2</v>
      </c>
      <c r="F52" s="41">
        <f>'Data - Hind. Unilever'!F52</f>
        <v>25003.05078125</v>
      </c>
      <c r="G52" s="6">
        <f t="shared" si="1"/>
        <v>1.0195734684894431E-2</v>
      </c>
    </row>
    <row r="53" spans="2:7" x14ac:dyDescent="0.35">
      <c r="B53" s="52">
        <v>45817</v>
      </c>
      <c r="C53" s="41">
        <v>5497.94921875</v>
      </c>
      <c r="D53" s="6">
        <f t="shared" si="0"/>
        <v>-6.6874236807454857E-3</v>
      </c>
      <c r="F53" s="41">
        <f>'Data - Hind. Unilever'!F53</f>
        <v>24718.599609375</v>
      </c>
      <c r="G53" s="6">
        <f t="shared" si="1"/>
        <v>-1.1376658567134212E-2</v>
      </c>
    </row>
    <row r="54" spans="2:7" x14ac:dyDescent="0.35">
      <c r="B54" s="52">
        <v>45824</v>
      </c>
      <c r="C54" s="41">
        <v>5514.7294921875</v>
      </c>
      <c r="D54" s="6">
        <f t="shared" si="0"/>
        <v>3.0520968400860049E-3</v>
      </c>
      <c r="F54" s="41">
        <f>'Data - Hind. Unilever'!F54</f>
        <v>25112.400390625</v>
      </c>
      <c r="G54" s="6">
        <f t="shared" si="1"/>
        <v>1.5931354828881306E-2</v>
      </c>
    </row>
    <row r="55" spans="2:7" x14ac:dyDescent="0.35">
      <c r="B55" s="52">
        <v>45831</v>
      </c>
      <c r="C55" s="41">
        <v>5719.544921875</v>
      </c>
      <c r="D55" s="6">
        <f t="shared" si="0"/>
        <v>3.713970557896884E-2</v>
      </c>
      <c r="F55" s="41">
        <f>'Data - Hind. Unilever'!F55</f>
        <v>25637.80078125</v>
      </c>
      <c r="G55" s="6">
        <f t="shared" si="1"/>
        <v>2.092195020995069E-2</v>
      </c>
    </row>
    <row r="56" spans="2:7" x14ac:dyDescent="0.35">
      <c r="B56" s="52">
        <v>45838</v>
      </c>
      <c r="C56" s="41">
        <v>5696.8427734375</v>
      </c>
      <c r="D56" s="6">
        <f t="shared" si="0"/>
        <v>-3.9692228573419142E-3</v>
      </c>
      <c r="F56" s="41">
        <f>'Data - Hind. Unilever'!F56</f>
        <v>25461</v>
      </c>
      <c r="G56" s="6">
        <f t="shared" si="1"/>
        <v>-6.896097787736255E-3</v>
      </c>
    </row>
    <row r="57" spans="2:7" x14ac:dyDescent="0.35">
      <c r="B57" s="52">
        <v>45845</v>
      </c>
      <c r="C57" s="41">
        <v>5684.0107421875</v>
      </c>
      <c r="D57" s="6">
        <f t="shared" si="0"/>
        <v>-2.252481200610168E-3</v>
      </c>
      <c r="F57" s="41">
        <f>'Data - Hind. Unilever'!F57</f>
        <v>25149.849609375</v>
      </c>
      <c r="G57" s="6">
        <f t="shared" si="1"/>
        <v>-1.2220666534111024E-2</v>
      </c>
    </row>
    <row r="58" spans="2:7" x14ac:dyDescent="0.35">
      <c r="B58" s="52">
        <v>45852</v>
      </c>
      <c r="C58" s="41">
        <v>5661.30810546875</v>
      </c>
      <c r="D58" s="6">
        <f t="shared" si="0"/>
        <v>-3.994122767968733E-3</v>
      </c>
      <c r="F58" s="41">
        <f>'Data - Hind. Unilever'!F58</f>
        <v>24968.400390625</v>
      </c>
      <c r="G58" s="6">
        <f t="shared" si="1"/>
        <v>-7.2147238082235221E-3</v>
      </c>
    </row>
    <row r="59" spans="2:7" x14ac:dyDescent="0.35">
      <c r="B59" s="52">
        <v>45859</v>
      </c>
      <c r="C59" s="41">
        <v>5521.638671875</v>
      </c>
      <c r="D59" s="6">
        <f t="shared" si="0"/>
        <v>-2.4670876587485346E-2</v>
      </c>
      <c r="F59" s="41">
        <f>'Data - Hind. Unilever'!F59</f>
        <v>24837</v>
      </c>
      <c r="G59" s="6">
        <f t="shared" si="1"/>
        <v>-5.2626675545597301E-3</v>
      </c>
    </row>
    <row r="60" spans="2:7" x14ac:dyDescent="0.35">
      <c r="B60" s="52">
        <v>45866</v>
      </c>
      <c r="C60" s="41">
        <v>5723</v>
      </c>
      <c r="D60" s="6">
        <f t="shared" si="0"/>
        <v>3.6467675646842501E-2</v>
      </c>
      <c r="F60" s="41">
        <f>'Data - Hind. Unilever'!F60</f>
        <v>24565.349609375</v>
      </c>
      <c r="G60" s="6">
        <f t="shared" si="1"/>
        <v>-1.0937326997020547E-2</v>
      </c>
    </row>
    <row r="61" spans="2:7" x14ac:dyDescent="0.35">
      <c r="B61" s="52">
        <v>45873</v>
      </c>
      <c r="C61" s="41">
        <v>5387</v>
      </c>
      <c r="D61" s="6">
        <f t="shared" si="0"/>
        <v>-5.8710466538528738E-2</v>
      </c>
      <c r="F61" s="41">
        <f>'Data - Hind. Unilever'!F61</f>
        <v>24363.30078125</v>
      </c>
      <c r="G61" s="6">
        <f t="shared" si="1"/>
        <v>-8.2249522737462E-3</v>
      </c>
    </row>
    <row r="62" spans="2:7" x14ac:dyDescent="0.35">
      <c r="B62" s="52">
        <v>45880</v>
      </c>
      <c r="C62" s="41">
        <v>5302.5</v>
      </c>
      <c r="D62" s="6">
        <f t="shared" si="0"/>
        <v>-1.5685910525338742E-2</v>
      </c>
      <c r="F62" s="41">
        <f>'Data - Hind. Unilever'!F62</f>
        <v>24631.30078125</v>
      </c>
      <c r="G62" s="6">
        <f t="shared" si="1"/>
        <v>1.1000151515029977E-2</v>
      </c>
    </row>
    <row r="63" spans="2:7" x14ac:dyDescent="0.35">
      <c r="B63" s="52">
        <v>45887</v>
      </c>
      <c r="C63" s="41">
        <v>5545.5</v>
      </c>
      <c r="D63" s="6">
        <f t="shared" si="0"/>
        <v>4.58274398868459E-2</v>
      </c>
      <c r="F63" s="41">
        <f>'Data - Hind. Unilever'!F63</f>
        <v>24870.099609375</v>
      </c>
      <c r="G63" s="6">
        <f t="shared" si="1"/>
        <v>9.6949337043044093E-3</v>
      </c>
    </row>
    <row r="64" spans="2:7" x14ac:dyDescent="0.35">
      <c r="B64" s="52">
        <v>45894</v>
      </c>
      <c r="C64" s="41">
        <v>5824</v>
      </c>
      <c r="D64" s="6">
        <f t="shared" si="0"/>
        <v>5.0220899828689936E-2</v>
      </c>
      <c r="F64" s="41">
        <f>'Data - Hind. Unilever'!F64</f>
        <v>24426.849609375</v>
      </c>
      <c r="G64" s="6">
        <f t="shared" si="1"/>
        <v>-1.7822606542070796E-2</v>
      </c>
    </row>
    <row r="65" spans="2:7" x14ac:dyDescent="0.35">
      <c r="B65" s="52">
        <v>45901</v>
      </c>
      <c r="C65" s="41">
        <v>6076</v>
      </c>
      <c r="D65" s="6">
        <f t="shared" si="0"/>
        <v>4.3269230769230838E-2</v>
      </c>
      <c r="F65" s="41">
        <f>'Data - Hind. Unilever'!F65</f>
        <v>24741</v>
      </c>
      <c r="G65" s="6">
        <f t="shared" si="1"/>
        <v>1.2860863993874538E-2</v>
      </c>
    </row>
    <row r="66" spans="2:7" x14ac:dyDescent="0.35">
      <c r="B66" s="52">
        <v>45908</v>
      </c>
      <c r="C66" s="41">
        <v>6247</v>
      </c>
      <c r="D66" s="6">
        <f t="shared" si="0"/>
        <v>2.8143515470704372E-2</v>
      </c>
      <c r="F66" s="41">
        <f>'Data - Hind. Unilever'!F66</f>
        <v>25114</v>
      </c>
      <c r="G66" s="6">
        <f t="shared" si="1"/>
        <v>1.5076189321369338E-2</v>
      </c>
    </row>
    <row r="67" spans="2:7" x14ac:dyDescent="0.35">
      <c r="B67" s="52">
        <v>45915</v>
      </c>
      <c r="C67" s="41">
        <v>6069.5</v>
      </c>
      <c r="D67" s="6">
        <f t="shared" si="0"/>
        <v>-2.8413638546502362E-2</v>
      </c>
      <c r="F67" s="41">
        <f>'Data - Hind. Unilever'!F67</f>
        <v>25327.05078125</v>
      </c>
      <c r="G67" s="6">
        <f t="shared" si="1"/>
        <v>8.483347186827972E-3</v>
      </c>
    </row>
    <row r="68" spans="2:7" x14ac:dyDescent="0.35">
      <c r="B68" s="52">
        <v>45922</v>
      </c>
      <c r="C68" s="41">
        <v>5920.5</v>
      </c>
      <c r="D68" s="6">
        <f t="shared" si="0"/>
        <v>-2.4548974380097177E-2</v>
      </c>
      <c r="F68" s="41">
        <f>'Data - Hind. Unilever'!F68</f>
        <v>24654.69921875</v>
      </c>
      <c r="G68" s="6">
        <f t="shared" si="1"/>
        <v>-2.6546776737138011E-2</v>
      </c>
    </row>
    <row r="69" spans="2:7" x14ac:dyDescent="0.35">
      <c r="B69" s="52">
        <v>45929</v>
      </c>
      <c r="C69" s="41">
        <v>5992.5</v>
      </c>
      <c r="D69" s="6">
        <f t="shared" si="0"/>
        <v>1.2161135039270299E-2</v>
      </c>
      <c r="F69" s="41">
        <f>'Data - Hind. Unilever'!F69</f>
        <v>24894.25</v>
      </c>
      <c r="G69" s="6">
        <f t="shared" si="1"/>
        <v>9.7162321521173656E-3</v>
      </c>
    </row>
    <row r="70" spans="2:7" x14ac:dyDescent="0.35">
      <c r="B70" s="52">
        <v>45936</v>
      </c>
      <c r="C70" s="41">
        <v>5871.5</v>
      </c>
      <c r="D70" s="6">
        <f t="shared" si="0"/>
        <v>-2.0191906549854033E-2</v>
      </c>
      <c r="F70" s="41">
        <f>'Data - Hind. Unilever'!F70</f>
        <v>25285.349609375</v>
      </c>
      <c r="G70" s="6">
        <f t="shared" si="1"/>
        <v>1.5710439534229792E-2</v>
      </c>
    </row>
    <row r="71" spans="2:7" x14ac:dyDescent="0.35">
      <c r="B71" s="52">
        <v>45943</v>
      </c>
      <c r="C71" s="41">
        <v>6083</v>
      </c>
      <c r="D71" s="6">
        <f t="shared" si="0"/>
        <v>3.602145959294889E-2</v>
      </c>
      <c r="F71" s="41">
        <f>'Data - Hind. Unilever'!F71</f>
        <v>25709.849609375</v>
      </c>
      <c r="G71" s="6">
        <f t="shared" si="1"/>
        <v>1.6788377719033409E-2</v>
      </c>
    </row>
    <row r="72" spans="2:7" x14ac:dyDescent="0.35">
      <c r="B72" s="52">
        <v>45950</v>
      </c>
      <c r="C72" s="41">
        <v>6053</v>
      </c>
      <c r="D72" s="6">
        <f t="shared" si="0"/>
        <v>-4.9317770836758701E-3</v>
      </c>
      <c r="F72" s="41">
        <f>'Data - Hind. Unilever'!F72</f>
        <v>25795.150390625</v>
      </c>
      <c r="G72" s="6">
        <f t="shared" si="1"/>
        <v>3.3178249793766046E-3</v>
      </c>
    </row>
    <row r="73" spans="2:7" x14ac:dyDescent="0.35">
      <c r="B73" s="52">
        <v>45957</v>
      </c>
      <c r="C73" s="41">
        <v>5836.5</v>
      </c>
      <c r="D73" s="6">
        <f t="shared" ref="D73:D111" si="2">IFERROR(C73/C72-1,0)</f>
        <v>-3.5767388072030393E-2</v>
      </c>
      <c r="F73" s="41">
        <f>'Data - Hind. Unilever'!F73</f>
        <v>25722.099609375</v>
      </c>
      <c r="G73" s="6">
        <f t="shared" ref="G73:G111" si="3">IFERROR(F73/F72-1,0)</f>
        <v>-2.8319579511562054E-3</v>
      </c>
    </row>
    <row r="74" spans="2:7" x14ac:dyDescent="0.35">
      <c r="B74" s="52">
        <v>45964</v>
      </c>
      <c r="C74" s="41">
        <v>6157.5</v>
      </c>
      <c r="D74" s="6">
        <f t="shared" si="2"/>
        <v>5.4998714983294672E-2</v>
      </c>
      <c r="F74" s="41">
        <f>'Data - Hind. Unilever'!F74</f>
        <v>25492.30078125</v>
      </c>
      <c r="G74" s="6">
        <f t="shared" si="3"/>
        <v>-8.9339063146013364E-3</v>
      </c>
    </row>
    <row r="75" spans="2:7" x14ac:dyDescent="0.35">
      <c r="B75" s="52">
        <v>45971</v>
      </c>
      <c r="C75" s="41">
        <v>5803.5</v>
      </c>
      <c r="D75" s="6">
        <f t="shared" si="2"/>
        <v>-5.7490864799025543E-2</v>
      </c>
      <c r="F75" s="41">
        <f>'Data - Hind. Unilever'!F75</f>
        <v>25910.05078125</v>
      </c>
      <c r="G75" s="6">
        <f t="shared" si="3"/>
        <v>1.6387300761305124E-2</v>
      </c>
    </row>
    <row r="76" spans="2:7" x14ac:dyDescent="0.35">
      <c r="B76" s="52">
        <v>45978</v>
      </c>
      <c r="C76" s="41">
        <v>5813</v>
      </c>
      <c r="D76" s="6">
        <f t="shared" si="2"/>
        <v>1.6369432239164983E-3</v>
      </c>
      <c r="F76" s="41">
        <f>'Data - Hind. Unilever'!F76</f>
        <v>26068.150390625</v>
      </c>
      <c r="G76" s="6">
        <f t="shared" si="3"/>
        <v>6.1018641263879125E-3</v>
      </c>
    </row>
    <row r="77" spans="2:7" x14ac:dyDescent="0.35">
      <c r="B77" s="52">
        <v>45985</v>
      </c>
      <c r="C77" s="41">
        <v>5846</v>
      </c>
      <c r="D77" s="6">
        <f t="shared" si="2"/>
        <v>5.6769310166866482E-3</v>
      </c>
      <c r="F77" s="41">
        <f>'Data - Hind. Unilever'!F77</f>
        <v>26202.94921875</v>
      </c>
      <c r="G77" s="6">
        <f t="shared" si="3"/>
        <v>5.1710162057940767E-3</v>
      </c>
    </row>
    <row r="78" spans="2:7" x14ac:dyDescent="0.35">
      <c r="B78" s="52">
        <v>45992</v>
      </c>
      <c r="C78" s="41">
        <v>5961</v>
      </c>
      <c r="D78" s="6">
        <f t="shared" si="2"/>
        <v>1.9671570304481634E-2</v>
      </c>
      <c r="F78" s="41">
        <f>'Data - Hind. Unilever'!F78</f>
        <v>26186.44921875</v>
      </c>
      <c r="G78" s="6">
        <f t="shared" si="3"/>
        <v>-6.2970010979501723E-4</v>
      </c>
    </row>
    <row r="79" spans="2:7" x14ac:dyDescent="0.35">
      <c r="B79" s="52">
        <v>45999</v>
      </c>
      <c r="C79" s="41">
        <v>5915.5</v>
      </c>
      <c r="D79" s="6">
        <f t="shared" si="2"/>
        <v>-7.6329474920315832E-3</v>
      </c>
      <c r="F79" s="41">
        <f>'Data - Hind. Unilever'!F79</f>
        <v>26046.94921875</v>
      </c>
      <c r="G79" s="6">
        <f t="shared" si="3"/>
        <v>-5.3271827285432671E-3</v>
      </c>
    </row>
    <row r="80" spans="2:7" x14ac:dyDescent="0.35">
      <c r="B80" s="52">
        <v>46006</v>
      </c>
      <c r="C80" s="41">
        <v>6103</v>
      </c>
      <c r="D80" s="6">
        <f t="shared" si="2"/>
        <v>3.1696390837629984E-2</v>
      </c>
      <c r="F80" s="41">
        <f>'Data - Hind. Unilever'!F80</f>
        <v>25966.400390625</v>
      </c>
      <c r="G80" s="6">
        <f t="shared" si="3"/>
        <v>-3.0924476969846904E-3</v>
      </c>
    </row>
    <row r="81" spans="2:7" x14ac:dyDescent="0.35">
      <c r="B81" s="52">
        <v>46013</v>
      </c>
      <c r="C81" s="41">
        <v>6032.5</v>
      </c>
      <c r="D81" s="6">
        <f t="shared" si="2"/>
        <v>-1.1551695887268565E-2</v>
      </c>
      <c r="F81" s="41">
        <f>'Data - Hind. Unilever'!F81</f>
        <v>26042.30078125</v>
      </c>
      <c r="G81" s="6">
        <f t="shared" si="3"/>
        <v>2.9230231947130481E-3</v>
      </c>
    </row>
    <row r="82" spans="2:7" x14ac:dyDescent="0.35">
      <c r="B82" s="52">
        <v>46020</v>
      </c>
      <c r="C82" s="41">
        <v>5984.5</v>
      </c>
      <c r="D82" s="6">
        <f t="shared" si="2"/>
        <v>-7.9569001243265935E-3</v>
      </c>
      <c r="F82" s="41">
        <f>'Data - Hind. Unilever'!F82</f>
        <v>26328.55078125</v>
      </c>
      <c r="G82" s="6">
        <f t="shared" si="3"/>
        <v>1.099173235131734E-2</v>
      </c>
    </row>
    <row r="83" spans="2:7" x14ac:dyDescent="0.35">
      <c r="B83" s="52">
        <v>46027</v>
      </c>
      <c r="C83" s="41">
        <v>5977.5</v>
      </c>
      <c r="D83" s="6">
        <f t="shared" si="2"/>
        <v>-1.1696883616008069E-3</v>
      </c>
      <c r="F83" s="41">
        <f>'Data - Hind. Unilever'!F83</f>
        <v>25683.30078125</v>
      </c>
      <c r="G83" s="6">
        <f t="shared" si="3"/>
        <v>-2.4507615529659854E-2</v>
      </c>
    </row>
    <row r="84" spans="2:7" x14ac:dyDescent="0.35">
      <c r="B84" s="52">
        <v>46034</v>
      </c>
      <c r="C84" s="41">
        <v>5898.5</v>
      </c>
      <c r="D84" s="6">
        <f t="shared" si="2"/>
        <v>-1.3216227519866175E-2</v>
      </c>
      <c r="F84" s="41">
        <f>'Data - Hind. Unilever'!F84</f>
        <v>25694.349609375</v>
      </c>
      <c r="G84" s="6">
        <f t="shared" si="3"/>
        <v>4.3019502123597952E-4</v>
      </c>
    </row>
    <row r="85" spans="2:7" x14ac:dyDescent="0.35">
      <c r="B85" s="52">
        <v>46041</v>
      </c>
      <c r="C85" s="41">
        <v>5835</v>
      </c>
      <c r="D85" s="6">
        <f t="shared" si="2"/>
        <v>-1.0765448842926184E-2</v>
      </c>
      <c r="F85" s="41">
        <f>'Data - Hind. Unilever'!F85</f>
        <v>25048.650390625</v>
      </c>
      <c r="G85" s="6">
        <f t="shared" si="3"/>
        <v>-2.5130008292344796E-2</v>
      </c>
    </row>
    <row r="86" spans="2:7" x14ac:dyDescent="0.35">
      <c r="B86" s="52">
        <v>46048</v>
      </c>
      <c r="C86" s="41">
        <v>5757.5</v>
      </c>
      <c r="D86" s="6">
        <f t="shared" si="2"/>
        <v>-1.32819194515853E-2</v>
      </c>
      <c r="F86" s="41">
        <f>'Data - Hind. Unilever'!F86</f>
        <v>24825.44921875</v>
      </c>
      <c r="G86" s="6">
        <f t="shared" si="3"/>
        <v>-8.9107065009194075E-3</v>
      </c>
    </row>
    <row r="87" spans="2:7" x14ac:dyDescent="0.35">
      <c r="B87" s="52">
        <v>46055</v>
      </c>
      <c r="C87" s="41">
        <v>5911</v>
      </c>
      <c r="D87" s="6">
        <f t="shared" si="2"/>
        <v>2.6660877116804205E-2</v>
      </c>
      <c r="F87" s="41">
        <f>'Data - Hind. Unilever'!F87</f>
        <v>25693.69921875</v>
      </c>
      <c r="G87" s="6">
        <f t="shared" si="3"/>
        <v>3.4974190893763746E-2</v>
      </c>
    </row>
    <row r="88" spans="2:7" x14ac:dyDescent="0.35">
      <c r="B88" s="52">
        <v>46062</v>
      </c>
      <c r="C88" s="41">
        <v>5980.5</v>
      </c>
      <c r="D88" s="6">
        <f t="shared" si="2"/>
        <v>1.1757739807139123E-2</v>
      </c>
      <c r="F88" s="41">
        <f>'Data - Hind. Unilever'!F88</f>
        <v>25471.099609375</v>
      </c>
      <c r="G88" s="6">
        <f t="shared" si="3"/>
        <v>-8.6635874219527231E-3</v>
      </c>
    </row>
    <row r="89" spans="2:7" x14ac:dyDescent="0.35">
      <c r="B89" s="52">
        <v>46069</v>
      </c>
      <c r="C89" s="41">
        <v>6098.5</v>
      </c>
      <c r="D89" s="6">
        <f t="shared" si="2"/>
        <v>1.9730791739821063E-2</v>
      </c>
      <c r="F89" s="41">
        <f>'Data - Hind. Unilever'!F89</f>
        <v>25571.25</v>
      </c>
      <c r="G89" s="6">
        <f t="shared" si="3"/>
        <v>3.9319225381277967E-3</v>
      </c>
    </row>
    <row r="90" spans="2:7" x14ac:dyDescent="0.35">
      <c r="B90" s="52">
        <v>46076</v>
      </c>
      <c r="C90" s="41">
        <v>6002.5</v>
      </c>
      <c r="D90" s="6">
        <f t="shared" si="2"/>
        <v>-1.5741575797327156E-2</v>
      </c>
      <c r="F90" s="41">
        <f>'Data - Hind. Unilever'!F90</f>
        <v>25178.650390625</v>
      </c>
      <c r="G90" s="6">
        <f t="shared" si="3"/>
        <v>-1.5353164564696709E-2</v>
      </c>
    </row>
    <row r="91" spans="2:7" x14ac:dyDescent="0.35">
      <c r="B91" s="52">
        <v>46083</v>
      </c>
      <c r="C91" s="41">
        <v>5983</v>
      </c>
      <c r="D91" s="6">
        <f t="shared" si="2"/>
        <v>-3.2486463973344648E-3</v>
      </c>
      <c r="F91" s="41">
        <f>'Data - Hind. Unilever'!F91</f>
        <v>24450.44921875</v>
      </c>
      <c r="G91" s="6">
        <f t="shared" si="3"/>
        <v>-2.8921374282480872E-2</v>
      </c>
    </row>
    <row r="92" spans="2:7" x14ac:dyDescent="0.35">
      <c r="B92" s="52">
        <v>46090</v>
      </c>
      <c r="C92" s="41">
        <v>5808.5</v>
      </c>
      <c r="D92" s="6">
        <f t="shared" si="2"/>
        <v>-2.9165970249038997E-2</v>
      </c>
      <c r="F92" s="41">
        <f>'Data - Hind. Unilever'!F92</f>
        <v>23151.099609375</v>
      </c>
      <c r="G92" s="6">
        <f t="shared" si="3"/>
        <v>-5.3142156929312567E-2</v>
      </c>
    </row>
    <row r="93" spans="2:7" x14ac:dyDescent="0.35">
      <c r="B93" s="52">
        <v>46097</v>
      </c>
      <c r="C93" s="41">
        <v>5618.5</v>
      </c>
      <c r="D93" s="6">
        <f t="shared" si="2"/>
        <v>-3.271068262029786E-2</v>
      </c>
      <c r="F93" s="41">
        <f>'Data - Hind. Unilever'!F93</f>
        <v>23114.5</v>
      </c>
      <c r="G93" s="6">
        <f t="shared" si="3"/>
        <v>-1.5809015551113692E-3</v>
      </c>
    </row>
    <row r="94" spans="2:7" x14ac:dyDescent="0.35">
      <c r="B94" s="52">
        <v>46104</v>
      </c>
      <c r="C94" s="41">
        <v>5500</v>
      </c>
      <c r="D94" s="6">
        <f t="shared" si="2"/>
        <v>-2.1091038533416429E-2</v>
      </c>
      <c r="F94" s="41">
        <f>'Data - Hind. Unilever'!F94</f>
        <v>22819.599609375</v>
      </c>
      <c r="G94" s="6">
        <f t="shared" si="3"/>
        <v>-1.2758242255943242E-2</v>
      </c>
    </row>
    <row r="95" spans="2:7" x14ac:dyDescent="0.35">
      <c r="B95" s="52">
        <v>46111</v>
      </c>
      <c r="C95" s="41">
        <v>5442</v>
      </c>
      <c r="D95" s="6">
        <f t="shared" si="2"/>
        <v>-1.0545454545454525E-2</v>
      </c>
      <c r="F95" s="41">
        <f>'Data - Hind. Unilever'!F95</f>
        <v>22713.099609375</v>
      </c>
      <c r="G95" s="6">
        <f t="shared" si="3"/>
        <v>-4.6670406940990672E-3</v>
      </c>
    </row>
    <row r="96" spans="2:7" x14ac:dyDescent="0.35">
      <c r="B96" s="52">
        <v>46118</v>
      </c>
      <c r="C96" s="41">
        <v>5557.5</v>
      </c>
      <c r="D96" s="6">
        <f t="shared" si="2"/>
        <v>2.1223814773980054E-2</v>
      </c>
      <c r="F96" s="41">
        <f>'Data - Hind. Unilever'!F96</f>
        <v>24050.599609375</v>
      </c>
      <c r="G96" s="6">
        <f t="shared" si="3"/>
        <v>5.888672277243634E-2</v>
      </c>
    </row>
    <row r="97" spans="2:7" x14ac:dyDescent="0.35">
      <c r="B97" s="52">
        <v>46125</v>
      </c>
      <c r="C97" s="41">
        <v>5735.5</v>
      </c>
      <c r="D97" s="6">
        <f t="shared" si="2"/>
        <v>3.2028789923526757E-2</v>
      </c>
      <c r="F97" s="41">
        <f>'Data - Hind. Unilever'!F97</f>
        <v>24353.55078125</v>
      </c>
      <c r="G97" s="6">
        <f t="shared" si="3"/>
        <v>1.2596408272370407E-2</v>
      </c>
    </row>
    <row r="98" spans="2:7" x14ac:dyDescent="0.35">
      <c r="B98" s="52">
        <v>46132</v>
      </c>
      <c r="C98" s="41">
        <v>5730.5</v>
      </c>
      <c r="D98" s="6">
        <f t="shared" si="2"/>
        <v>-8.7176357771767687E-4</v>
      </c>
      <c r="F98" s="41">
        <f>'Data - Hind. Unilever'!F98</f>
        <v>23897.94921875</v>
      </c>
      <c r="G98" s="6">
        <f t="shared" si="3"/>
        <v>-1.8707808425651451E-2</v>
      </c>
    </row>
    <row r="99" spans="2:7" x14ac:dyDescent="0.35">
      <c r="B99" s="52">
        <v>46139</v>
      </c>
      <c r="C99" s="41">
        <v>5726</v>
      </c>
      <c r="D99" s="6">
        <f t="shared" si="2"/>
        <v>-7.8527179129217473E-4</v>
      </c>
      <c r="F99" s="41">
        <f>'Data - Hind. Unilever'!F99</f>
        <v>23997.55078125</v>
      </c>
      <c r="G99" s="6">
        <f t="shared" si="3"/>
        <v>4.1677870175509391E-3</v>
      </c>
    </row>
    <row r="100" spans="2:7" x14ac:dyDescent="0.35">
      <c r="B100" s="52">
        <v>46146</v>
      </c>
      <c r="C100" s="41">
        <v>5520</v>
      </c>
      <c r="D100" s="6">
        <f t="shared" si="2"/>
        <v>-3.597624869018512E-2</v>
      </c>
      <c r="F100" s="41">
        <f>'Data - Hind. Unilever'!F100</f>
        <v>24176.150390625</v>
      </c>
      <c r="G100" s="6">
        <f t="shared" si="3"/>
        <v>7.442409894369062E-3</v>
      </c>
    </row>
    <row r="101" spans="2:7" x14ac:dyDescent="0.35">
      <c r="B101" s="52">
        <v>46153</v>
      </c>
      <c r="C101" s="41">
        <v>5406</v>
      </c>
      <c r="D101" s="6">
        <f t="shared" si="2"/>
        <v>-2.0652173913043526E-2</v>
      </c>
      <c r="F101" s="41">
        <f>'Data - Hind. Unilever'!F101</f>
        <v>23643.5</v>
      </c>
      <c r="G101" s="6">
        <f t="shared" si="3"/>
        <v>-2.2032059778696267E-2</v>
      </c>
    </row>
    <row r="102" spans="2:7" x14ac:dyDescent="0.35">
      <c r="B102" s="52">
        <v>46160</v>
      </c>
      <c r="C102" s="41">
        <v>5331.5</v>
      </c>
      <c r="D102" s="6">
        <f t="shared" si="2"/>
        <v>-1.3780984091749882E-2</v>
      </c>
      <c r="F102" s="41">
        <f>'Data - Hind. Unilever'!F102</f>
        <v>23719.30078125</v>
      </c>
      <c r="G102" s="6">
        <f t="shared" si="3"/>
        <v>3.2059881679953328E-3</v>
      </c>
    </row>
    <row r="103" spans="2:7" x14ac:dyDescent="0.35">
      <c r="B103" s="52">
        <v>46167</v>
      </c>
      <c r="C103" s="41">
        <v>5204.5</v>
      </c>
      <c r="D103" s="6">
        <f t="shared" si="2"/>
        <v>-2.382068836162432E-2</v>
      </c>
      <c r="F103" s="41">
        <f>'Data - Hind. Unilever'!F103</f>
        <v>23547.75</v>
      </c>
      <c r="G103" s="6">
        <f t="shared" si="3"/>
        <v>-7.2325395605932208E-3</v>
      </c>
    </row>
    <row r="104" spans="2:7" x14ac:dyDescent="0.35">
      <c r="B104" s="52">
        <v>46174</v>
      </c>
      <c r="C104" s="41">
        <v>5120.5</v>
      </c>
      <c r="D104" s="6">
        <f t="shared" si="2"/>
        <v>-1.6139878950907849E-2</v>
      </c>
      <c r="F104" s="41">
        <f>'Data - Hind. Unilever'!F104</f>
        <v>23366.69921875</v>
      </c>
      <c r="G104" s="6">
        <f t="shared" si="3"/>
        <v>-7.6886658491788218E-3</v>
      </c>
    </row>
    <row r="105" spans="2:7" x14ac:dyDescent="0.35">
      <c r="B105" s="52">
        <v>46181</v>
      </c>
      <c r="C105" s="41">
        <v>5165.5</v>
      </c>
      <c r="D105" s="6">
        <f t="shared" si="2"/>
        <v>8.7882042769260593E-3</v>
      </c>
      <c r="F105" s="41">
        <f>'Data - Hind. Unilever'!F105</f>
        <v>23622.900390625</v>
      </c>
      <c r="G105" s="6">
        <f t="shared" si="3"/>
        <v>1.0964371539024187E-2</v>
      </c>
    </row>
    <row r="106" spans="2:7" x14ac:dyDescent="0.35">
      <c r="B106" s="52">
        <v>46188</v>
      </c>
      <c r="C106" s="41">
        <v>5195</v>
      </c>
      <c r="D106" s="6">
        <f t="shared" si="2"/>
        <v>5.7109669925468065E-3</v>
      </c>
      <c r="F106" s="41">
        <f>'Data - Hind. Unilever'!F106</f>
        <v>24013.099609375</v>
      </c>
      <c r="G106" s="6">
        <f t="shared" si="3"/>
        <v>1.6517837026686744E-2</v>
      </c>
    </row>
    <row r="107" spans="2:7" x14ac:dyDescent="0.35">
      <c r="B107" s="52">
        <v>46195</v>
      </c>
      <c r="C107" s="41">
        <v>5237</v>
      </c>
      <c r="D107" s="6">
        <f t="shared" si="2"/>
        <v>8.0846968238690309E-3</v>
      </c>
      <c r="F107" s="41">
        <f>'Data - Hind. Unilever'!F107</f>
        <v>24056</v>
      </c>
      <c r="G107" s="6">
        <f t="shared" si="3"/>
        <v>1.78654115140775E-3</v>
      </c>
    </row>
    <row r="108" spans="2:7" x14ac:dyDescent="0.35">
      <c r="B108" s="52">
        <v>46202</v>
      </c>
      <c r="C108" s="41">
        <v>5379</v>
      </c>
      <c r="D108" s="6">
        <f t="shared" si="2"/>
        <v>2.711476035898408E-2</v>
      </c>
      <c r="F108" s="41">
        <f>'Data - Hind. Unilever'!F108</f>
        <v>24270.849609375</v>
      </c>
      <c r="G108" s="6">
        <f t="shared" si="3"/>
        <v>8.9312275263966345E-3</v>
      </c>
    </row>
    <row r="109" spans="2:7" x14ac:dyDescent="0.35">
      <c r="B109" s="52">
        <v>46209</v>
      </c>
      <c r="C109" s="41">
        <v>5353</v>
      </c>
      <c r="D109" s="6">
        <f t="shared" si="2"/>
        <v>-4.8336121955754319E-3</v>
      </c>
      <c r="F109" s="41">
        <f>'Data - Hind. Unilever'!F109</f>
        <v>24206.900390625</v>
      </c>
      <c r="G109" s="6">
        <f t="shared" si="3"/>
        <v>-2.6348158296567448E-3</v>
      </c>
    </row>
    <row r="110" spans="2:7" x14ac:dyDescent="0.35">
      <c r="B110" s="52">
        <v>46216</v>
      </c>
      <c r="C110" s="41">
        <v>5412.5</v>
      </c>
      <c r="D110" s="6">
        <f t="shared" si="2"/>
        <v>1.1115262469643117E-2</v>
      </c>
      <c r="F110" s="41">
        <f>'Data - Hind. Unilever'!F110</f>
        <v>24334.30078125</v>
      </c>
      <c r="G110" s="6">
        <f t="shared" si="3"/>
        <v>5.2629782652529045E-3</v>
      </c>
    </row>
    <row r="111" spans="2:7" x14ac:dyDescent="0.35">
      <c r="B111" s="52">
        <v>46223</v>
      </c>
      <c r="C111" s="41">
        <v>5379.5</v>
      </c>
      <c r="D111" s="6">
        <f t="shared" si="2"/>
        <v>-6.0969976905311807E-3</v>
      </c>
      <c r="F111" s="41">
        <f>'Data - Hind. Unilever'!F111</f>
        <v>23869.599609375</v>
      </c>
      <c r="G111" s="6">
        <f t="shared" si="3"/>
        <v>-1.909654919006587E-2</v>
      </c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B56E-F27F-4D71-84C8-284BE739E41D}">
  <sheetPr>
    <tabColor rgb="FF002060"/>
  </sheetPr>
  <dimension ref="B2:T111"/>
  <sheetViews>
    <sheetView showGridLines="0" workbookViewId="0">
      <selection activeCell="I16" sqref="I16"/>
    </sheetView>
  </sheetViews>
  <sheetFormatPr defaultRowHeight="14.5" x14ac:dyDescent="0.35"/>
  <cols>
    <col min="1" max="1" width="1.81640625" customWidth="1"/>
    <col min="2" max="2" width="10.81640625" customWidth="1"/>
    <col min="3" max="3" width="15.453125" customWidth="1"/>
    <col min="6" max="6" width="17" customWidth="1"/>
    <col min="7" max="7" width="11.36328125" customWidth="1"/>
    <col min="9" max="9" width="16.08984375" customWidth="1"/>
    <col min="10" max="10" width="10.36328125" customWidth="1"/>
  </cols>
  <sheetData>
    <row r="2" spans="2:17" x14ac:dyDescent="0.35">
      <c r="B2" s="17" t="str">
        <f>'Data - Hind. Unilever'!B2</f>
        <v xml:space="preserve">Regression Beta - 2 Years Weekly </v>
      </c>
    </row>
    <row r="4" spans="2:17" x14ac:dyDescent="0.35">
      <c r="B4" s="68" t="s">
        <v>92</v>
      </c>
      <c r="C4" s="68"/>
      <c r="D4" s="68"/>
      <c r="E4" s="40"/>
      <c r="F4" s="68" t="s">
        <v>56</v>
      </c>
      <c r="G4" s="68"/>
      <c r="I4" s="68" t="s">
        <v>82</v>
      </c>
      <c r="J4" s="68"/>
      <c r="L4" t="s">
        <v>57</v>
      </c>
    </row>
    <row r="5" spans="2:17" ht="15" thickBot="1" x14ac:dyDescent="0.4"/>
    <row r="6" spans="2:17" x14ac:dyDescent="0.35">
      <c r="B6" s="36" t="s">
        <v>52</v>
      </c>
      <c r="C6" s="37" t="s">
        <v>53</v>
      </c>
      <c r="D6" s="18" t="s">
        <v>55</v>
      </c>
      <c r="F6" s="37" t="s">
        <v>53</v>
      </c>
      <c r="G6" s="18" t="s">
        <v>55</v>
      </c>
      <c r="I6" t="s">
        <v>83</v>
      </c>
      <c r="J6" s="46">
        <f>M21</f>
        <v>0.92476014312287402</v>
      </c>
      <c r="L6" s="44" t="s">
        <v>58</v>
      </c>
      <c r="M6" s="44"/>
    </row>
    <row r="7" spans="2:17" x14ac:dyDescent="0.35">
      <c r="B7" s="32">
        <v>45495</v>
      </c>
      <c r="C7" s="41">
        <v>1419.24072265625</v>
      </c>
      <c r="F7" s="41">
        <f>'Data - Hind. Unilever'!F7</f>
        <v>24834.849609375</v>
      </c>
      <c r="I7" t="s">
        <v>84</v>
      </c>
      <c r="J7" s="47">
        <v>0.75</v>
      </c>
      <c r="L7" t="s">
        <v>59</v>
      </c>
      <c r="M7">
        <v>0.49135767065037378</v>
      </c>
    </row>
    <row r="8" spans="2:17" x14ac:dyDescent="0.35">
      <c r="B8" s="32">
        <v>45502</v>
      </c>
      <c r="C8" s="41">
        <v>1411.165405273438</v>
      </c>
      <c r="D8" s="6">
        <f>IFERROR(C8/C7-1,0)</f>
        <v>-5.6898856225731098E-3</v>
      </c>
      <c r="F8" s="41">
        <f>'Data - Hind. Unilever'!F8</f>
        <v>24717.69921875</v>
      </c>
      <c r="G8" s="6">
        <f>IFERROR(F8/F7-1,0)</f>
        <v>-4.7171773724281607E-3</v>
      </c>
      <c r="I8" s="6"/>
      <c r="J8" s="48"/>
      <c r="L8" t="s">
        <v>60</v>
      </c>
      <c r="M8">
        <v>0.24143236050696118</v>
      </c>
    </row>
    <row r="9" spans="2:17" x14ac:dyDescent="0.35">
      <c r="B9" s="32">
        <v>45509</v>
      </c>
      <c r="C9" s="41">
        <v>1397.287231445312</v>
      </c>
      <c r="D9" s="6">
        <f t="shared" ref="D9:D72" si="0">IFERROR(C9/C8-1,0)</f>
        <v>-9.8345479390750112E-3</v>
      </c>
      <c r="F9" s="41">
        <f>'Data - Hind. Unilever'!F9</f>
        <v>24367.5</v>
      </c>
      <c r="G9" s="6">
        <f t="shared" ref="G9:G72" si="1">IFERROR(F9/F8-1,0)</f>
        <v>-1.4167953726225035E-2</v>
      </c>
      <c r="I9" s="6"/>
      <c r="J9" s="47"/>
      <c r="L9" t="s">
        <v>61</v>
      </c>
      <c r="M9">
        <v>0.23399542286487257</v>
      </c>
    </row>
    <row r="10" spans="2:17" x14ac:dyDescent="0.35">
      <c r="B10" s="32">
        <v>45516</v>
      </c>
      <c r="C10" s="41">
        <v>1363.818115234375</v>
      </c>
      <c r="D10" s="6">
        <f t="shared" si="0"/>
        <v>-2.3952924966127109E-2</v>
      </c>
      <c r="F10" s="41">
        <f>'Data - Hind. Unilever'!F10</f>
        <v>24541.150390625</v>
      </c>
      <c r="G10" s="6">
        <f t="shared" si="1"/>
        <v>7.126311300913013E-3</v>
      </c>
      <c r="I10" s="6" t="s">
        <v>85</v>
      </c>
      <c r="J10" s="48">
        <v>1</v>
      </c>
      <c r="L10" t="s">
        <v>62</v>
      </c>
      <c r="M10">
        <v>3.035953123207626E-2</v>
      </c>
    </row>
    <row r="11" spans="2:17" ht="15" thickBot="1" x14ac:dyDescent="0.4">
      <c r="B11" s="32">
        <v>45523</v>
      </c>
      <c r="C11" s="41">
        <v>1386.434326171875</v>
      </c>
      <c r="D11" s="6">
        <f t="shared" si="0"/>
        <v>1.6583011095737898E-2</v>
      </c>
      <c r="F11" s="41">
        <f>'Data - Hind. Unilever'!F11</f>
        <v>24823.150390625</v>
      </c>
      <c r="G11" s="6">
        <f t="shared" si="1"/>
        <v>1.1490903870086111E-2</v>
      </c>
      <c r="I11" s="6" t="s">
        <v>86</v>
      </c>
      <c r="J11" s="47">
        <v>0.25</v>
      </c>
      <c r="L11" s="42" t="s">
        <v>63</v>
      </c>
      <c r="M11" s="42">
        <v>104</v>
      </c>
    </row>
    <row r="12" spans="2:17" x14ac:dyDescent="0.35">
      <c r="B12" s="32">
        <v>45530</v>
      </c>
      <c r="C12" s="41">
        <v>1437.7333984375</v>
      </c>
      <c r="D12" s="6">
        <f t="shared" si="0"/>
        <v>3.7000722859530155E-2</v>
      </c>
      <c r="F12" s="41">
        <f>'Data - Hind. Unilever'!F12</f>
        <v>25235.900390625</v>
      </c>
      <c r="G12" s="6">
        <f t="shared" si="1"/>
        <v>1.6627623549180237E-2</v>
      </c>
      <c r="I12" s="6"/>
      <c r="J12" s="6"/>
    </row>
    <row r="13" spans="2:17" ht="15" thickBot="1" x14ac:dyDescent="0.4">
      <c r="B13" s="32">
        <v>45537</v>
      </c>
      <c r="C13" s="41">
        <v>1401.091186523438</v>
      </c>
      <c r="D13" s="6">
        <f t="shared" si="0"/>
        <v>-2.5486096347128062E-2</v>
      </c>
      <c r="F13" s="41">
        <f>'Data - Hind. Unilever'!F13</f>
        <v>24852.150390625</v>
      </c>
      <c r="G13" s="6">
        <f t="shared" si="1"/>
        <v>-1.5206511123437516E-2</v>
      </c>
      <c r="I13" s="49" t="s">
        <v>87</v>
      </c>
      <c r="J13" s="50">
        <f>IFERROR((J6*J7)+(J10*J11),0)</f>
        <v>0.94357010734215552</v>
      </c>
      <c r="L13" t="s">
        <v>64</v>
      </c>
    </row>
    <row r="14" spans="2:17" x14ac:dyDescent="0.35">
      <c r="B14" s="32">
        <v>45544</v>
      </c>
      <c r="C14" s="41">
        <v>1447.536987304688</v>
      </c>
      <c r="D14" s="6">
        <f t="shared" si="0"/>
        <v>3.314973445554048E-2</v>
      </c>
      <c r="F14" s="41">
        <f>'Data - Hind. Unilever'!F14</f>
        <v>25356.5</v>
      </c>
      <c r="G14" s="6">
        <f t="shared" si="1"/>
        <v>2.0294002790408605E-2</v>
      </c>
      <c r="L14" s="43"/>
      <c r="M14" s="43" t="s">
        <v>69</v>
      </c>
      <c r="N14" s="43" t="s">
        <v>70</v>
      </c>
      <c r="O14" s="43" t="s">
        <v>71</v>
      </c>
      <c r="P14" s="43" t="s">
        <v>72</v>
      </c>
      <c r="Q14" s="43" t="s">
        <v>73</v>
      </c>
    </row>
    <row r="15" spans="2:17" x14ac:dyDescent="0.35">
      <c r="B15" s="32">
        <v>45551</v>
      </c>
      <c r="C15" s="41">
        <v>1413.855224609375</v>
      </c>
      <c r="D15" s="6">
        <f t="shared" si="0"/>
        <v>-2.3268326122725447E-2</v>
      </c>
      <c r="F15" s="41">
        <f>'Data - Hind. Unilever'!F15</f>
        <v>25790.94921875</v>
      </c>
      <c r="G15" s="6">
        <f t="shared" si="1"/>
        <v>1.7133643000808441E-2</v>
      </c>
      <c r="L15" t="s">
        <v>65</v>
      </c>
      <c r="M15">
        <v>1</v>
      </c>
      <c r="N15">
        <v>2.992205821916448E-2</v>
      </c>
      <c r="O15">
        <v>2.992205821916448E-2</v>
      </c>
      <c r="P15">
        <v>32.463948486080952</v>
      </c>
      <c r="Q15">
        <v>1.1820065371086192E-7</v>
      </c>
    </row>
    <row r="16" spans="2:17" x14ac:dyDescent="0.35">
      <c r="B16" s="32">
        <v>45558</v>
      </c>
      <c r="C16" s="41">
        <v>1347.8994140625</v>
      </c>
      <c r="D16" s="6">
        <f t="shared" si="0"/>
        <v>-4.6649621120222862E-2</v>
      </c>
      <c r="F16" s="41">
        <f>'Data - Hind. Unilever'!F16</f>
        <v>26178.94921875</v>
      </c>
      <c r="G16" s="6">
        <f t="shared" si="1"/>
        <v>1.5044037220542705E-2</v>
      </c>
      <c r="L16" t="s">
        <v>66</v>
      </c>
      <c r="M16">
        <v>102</v>
      </c>
      <c r="N16">
        <v>9.401351593640421E-2</v>
      </c>
      <c r="O16">
        <v>9.2170113663141379E-4</v>
      </c>
    </row>
    <row r="17" spans="2:20" ht="15" thickBot="1" x14ac:dyDescent="0.4">
      <c r="B17" s="32">
        <v>45565</v>
      </c>
      <c r="C17" s="41">
        <v>1303.831665039062</v>
      </c>
      <c r="D17" s="6">
        <f t="shared" si="0"/>
        <v>-3.2693648030174605E-2</v>
      </c>
      <c r="F17" s="41">
        <f>'Data - Hind. Unilever'!F17</f>
        <v>25014.599609375</v>
      </c>
      <c r="G17" s="6">
        <f t="shared" si="1"/>
        <v>-4.4476560141728849E-2</v>
      </c>
      <c r="L17" s="42" t="s">
        <v>67</v>
      </c>
      <c r="M17" s="42">
        <v>103</v>
      </c>
      <c r="N17" s="42">
        <v>0.12393557415556869</v>
      </c>
      <c r="O17" s="42"/>
      <c r="P17" s="42"/>
      <c r="Q17" s="42"/>
    </row>
    <row r="18" spans="2:20" ht="15" thickBot="1" x14ac:dyDescent="0.4">
      <c r="B18" s="32">
        <v>45572</v>
      </c>
      <c r="C18" s="41">
        <v>1277.090087890625</v>
      </c>
      <c r="D18" s="6">
        <f t="shared" si="0"/>
        <v>-2.0509992099045915E-2</v>
      </c>
      <c r="F18" s="41">
        <f>'Data - Hind. Unilever'!F18</f>
        <v>24964.25</v>
      </c>
      <c r="G18" s="6">
        <f t="shared" si="1"/>
        <v>-2.0128089260372795E-3</v>
      </c>
    </row>
    <row r="19" spans="2:20" x14ac:dyDescent="0.35">
      <c r="B19" s="32">
        <v>45579</v>
      </c>
      <c r="C19" s="41">
        <v>1296.93994140625</v>
      </c>
      <c r="D19" s="6">
        <f t="shared" si="0"/>
        <v>1.5543033106153903E-2</v>
      </c>
      <c r="F19" s="41">
        <f>'Data - Hind. Unilever'!F19</f>
        <v>24854.05078125</v>
      </c>
      <c r="G19" s="6">
        <f t="shared" si="1"/>
        <v>-4.4142811720760955E-3</v>
      </c>
      <c r="L19" s="43"/>
      <c r="M19" s="43" t="s">
        <v>74</v>
      </c>
      <c r="N19" s="43" t="s">
        <v>62</v>
      </c>
      <c r="O19" s="43" t="s">
        <v>75</v>
      </c>
      <c r="P19" s="43" t="s">
        <v>76</v>
      </c>
      <c r="Q19" s="43" t="s">
        <v>77</v>
      </c>
      <c r="R19" s="43" t="s">
        <v>78</v>
      </c>
      <c r="S19" s="43" t="s">
        <v>79</v>
      </c>
      <c r="T19" s="43" t="s">
        <v>80</v>
      </c>
    </row>
    <row r="20" spans="2:20" x14ac:dyDescent="0.35">
      <c r="B20" s="32">
        <v>45586</v>
      </c>
      <c r="C20" s="41">
        <v>1253.357421875</v>
      </c>
      <c r="D20" s="6">
        <f t="shared" si="0"/>
        <v>-3.3604115456567829E-2</v>
      </c>
      <c r="F20" s="41">
        <f>'Data - Hind. Unilever'!F20</f>
        <v>24180.80078125</v>
      </c>
      <c r="G20" s="6">
        <f t="shared" si="1"/>
        <v>-2.7088139713140946E-2</v>
      </c>
      <c r="L20" t="s">
        <v>68</v>
      </c>
      <c r="M20">
        <v>-2.0117226930999148E-3</v>
      </c>
      <c r="N20">
        <v>2.9771973695786121E-3</v>
      </c>
      <c r="O20">
        <v>-0.67571022118182611</v>
      </c>
      <c r="P20">
        <v>0.5007537548505655</v>
      </c>
      <c r="Q20">
        <v>-7.9169795594649737E-3</v>
      </c>
      <c r="R20">
        <v>3.8935341732651441E-3</v>
      </c>
      <c r="S20">
        <v>-7.9169795594649737E-3</v>
      </c>
      <c r="T20">
        <v>3.8935341732651441E-3</v>
      </c>
    </row>
    <row r="21" spans="2:20" ht="15" thickBot="1" x14ac:dyDescent="0.4">
      <c r="B21" s="32">
        <v>45593</v>
      </c>
      <c r="C21" s="41">
        <v>1242.459838867188</v>
      </c>
      <c r="D21" s="6">
        <f t="shared" si="0"/>
        <v>-8.6947129506836918E-3</v>
      </c>
      <c r="F21" s="41">
        <f>'Data - Hind. Unilever'!F21</f>
        <v>24304.349609375</v>
      </c>
      <c r="G21" s="6">
        <f t="shared" si="1"/>
        <v>5.1093770319137199E-3</v>
      </c>
      <c r="L21" s="42" t="s">
        <v>81</v>
      </c>
      <c r="M21" s="42">
        <v>0.92476014312287402</v>
      </c>
      <c r="N21" s="42">
        <v>0.16230370478228276</v>
      </c>
      <c r="O21" s="42">
        <v>5.6977143212064361</v>
      </c>
      <c r="P21" s="42">
        <v>1.1820065371086259E-7</v>
      </c>
      <c r="Q21" s="42">
        <v>0.60283151424002657</v>
      </c>
      <c r="R21" s="42">
        <v>1.2466887720057214</v>
      </c>
      <c r="S21" s="42">
        <v>0.60283151424002657</v>
      </c>
      <c r="T21" s="42">
        <v>1.2466887720057214</v>
      </c>
    </row>
    <row r="22" spans="2:20" x14ac:dyDescent="0.35">
      <c r="B22" s="32">
        <v>45600</v>
      </c>
      <c r="C22" s="41">
        <v>1219.025634765625</v>
      </c>
      <c r="D22" s="6">
        <f t="shared" si="0"/>
        <v>-1.8861136085436048E-2</v>
      </c>
      <c r="F22" s="41">
        <f>'Data - Hind. Unilever'!F22</f>
        <v>24148.19921875</v>
      </c>
      <c r="G22" s="6">
        <f t="shared" si="1"/>
        <v>-6.424791987223899E-3</v>
      </c>
      <c r="M22">
        <f>SLOPE(D8:D111,G8:G111)</f>
        <v>0.92476014312287347</v>
      </c>
    </row>
    <row r="23" spans="2:20" x14ac:dyDescent="0.35">
      <c r="B23" s="32">
        <v>45607</v>
      </c>
      <c r="C23" s="41">
        <v>1145.019653320312</v>
      </c>
      <c r="D23" s="6">
        <f t="shared" si="0"/>
        <v>-6.070912648161142E-2</v>
      </c>
      <c r="F23" s="41">
        <f>'Data - Hind. Unilever'!F23</f>
        <v>23532.69921875</v>
      </c>
      <c r="G23" s="6">
        <f t="shared" si="1"/>
        <v>-2.5488443027341434E-2</v>
      </c>
    </row>
    <row r="24" spans="2:20" x14ac:dyDescent="0.35">
      <c r="B24" s="32">
        <v>45614</v>
      </c>
      <c r="C24" s="41">
        <v>1161.779418945312</v>
      </c>
      <c r="D24" s="6">
        <f t="shared" si="0"/>
        <v>1.4637098652761305E-2</v>
      </c>
      <c r="F24" s="41">
        <f>'Data - Hind. Unilever'!F24</f>
        <v>23907.25</v>
      </c>
      <c r="G24" s="6">
        <f t="shared" si="1"/>
        <v>1.5916184444815906E-2</v>
      </c>
    </row>
    <row r="25" spans="2:20" x14ac:dyDescent="0.35">
      <c r="B25" s="32">
        <v>45621</v>
      </c>
      <c r="C25" s="41">
        <v>1212.789306640625</v>
      </c>
      <c r="D25" s="6">
        <f t="shared" si="0"/>
        <v>4.3906689052574999E-2</v>
      </c>
      <c r="F25" s="41">
        <f>'Data - Hind. Unilever'!F25</f>
        <v>24131.099609375</v>
      </c>
      <c r="G25" s="6">
        <f t="shared" si="1"/>
        <v>9.3632521254012335E-3</v>
      </c>
    </row>
    <row r="26" spans="2:20" x14ac:dyDescent="0.35">
      <c r="B26" s="32">
        <v>45628</v>
      </c>
      <c r="C26" s="41">
        <v>1203.824829101562</v>
      </c>
      <c r="D26" s="6">
        <f t="shared" si="0"/>
        <v>-7.3916198716281745E-3</v>
      </c>
      <c r="F26" s="41">
        <f>'Data - Hind. Unilever'!F26</f>
        <v>24677.80078125</v>
      </c>
      <c r="G26" s="6">
        <f t="shared" si="1"/>
        <v>2.2655460411037609E-2</v>
      </c>
    </row>
    <row r="27" spans="2:20" x14ac:dyDescent="0.35">
      <c r="B27" s="32">
        <v>45635</v>
      </c>
      <c r="C27" s="41">
        <v>1082.9990234375</v>
      </c>
      <c r="D27" s="6">
        <f t="shared" si="0"/>
        <v>-0.10036826184606662</v>
      </c>
      <c r="F27" s="41">
        <f>'Data - Hind. Unilever'!F27</f>
        <v>24768.30078125</v>
      </c>
      <c r="G27" s="6">
        <f t="shared" si="1"/>
        <v>3.667263578396307E-3</v>
      </c>
    </row>
    <row r="28" spans="2:20" x14ac:dyDescent="0.35">
      <c r="B28" s="32">
        <v>45642</v>
      </c>
      <c r="C28" s="41">
        <v>1042.220458984375</v>
      </c>
      <c r="D28" s="6">
        <f t="shared" si="0"/>
        <v>-3.765337139796443E-2</v>
      </c>
      <c r="F28" s="41">
        <f>'Data - Hind. Unilever'!F28</f>
        <v>23587.5</v>
      </c>
      <c r="G28" s="6">
        <f t="shared" si="1"/>
        <v>-4.7673871198458895E-2</v>
      </c>
    </row>
    <row r="29" spans="2:20" x14ac:dyDescent="0.35">
      <c r="B29" s="32">
        <v>45649</v>
      </c>
      <c r="C29" s="41">
        <v>1040.466430664062</v>
      </c>
      <c r="D29" s="6">
        <f t="shared" si="0"/>
        <v>-1.6829724509747068E-3</v>
      </c>
      <c r="F29" s="41">
        <f>'Data - Hind. Unilever'!F29</f>
        <v>23813.400390625</v>
      </c>
      <c r="G29" s="6">
        <f t="shared" si="1"/>
        <v>9.5771230789614137E-3</v>
      </c>
    </row>
    <row r="30" spans="2:20" x14ac:dyDescent="0.35">
      <c r="B30" s="32">
        <v>45656</v>
      </c>
      <c r="C30" s="41">
        <v>1088.066040039062</v>
      </c>
      <c r="D30" s="6">
        <f t="shared" si="0"/>
        <v>4.5748337449599719E-2</v>
      </c>
      <c r="F30" s="41">
        <f>'Data - Hind. Unilever'!F30</f>
        <v>24004.75</v>
      </c>
      <c r="G30" s="6">
        <f t="shared" si="1"/>
        <v>8.0353753028203911E-3</v>
      </c>
    </row>
    <row r="31" spans="2:20" x14ac:dyDescent="0.35">
      <c r="B31" s="32">
        <v>45663</v>
      </c>
      <c r="C31" s="41">
        <v>1144.240234375</v>
      </c>
      <c r="D31" s="6">
        <f t="shared" si="0"/>
        <v>5.1627559604673801E-2</v>
      </c>
      <c r="F31" s="41">
        <f>'Data - Hind. Unilever'!F31</f>
        <v>23431.5</v>
      </c>
      <c r="G31" s="6">
        <f t="shared" si="1"/>
        <v>-2.3880690280048689E-2</v>
      </c>
    </row>
    <row r="32" spans="2:20" x14ac:dyDescent="0.35">
      <c r="B32" s="32">
        <v>45670</v>
      </c>
      <c r="C32" s="41">
        <v>1157.345947265625</v>
      </c>
      <c r="D32" s="6">
        <f t="shared" si="0"/>
        <v>1.1453637528996197E-2</v>
      </c>
      <c r="F32" s="41">
        <f>'Data - Hind. Unilever'!F32</f>
        <v>23203.19921875</v>
      </c>
      <c r="G32" s="6">
        <f t="shared" si="1"/>
        <v>-9.7433276252053558E-3</v>
      </c>
    </row>
    <row r="33" spans="2:7" x14ac:dyDescent="0.35">
      <c r="B33" s="32">
        <v>45677</v>
      </c>
      <c r="C33" s="41">
        <v>1101.415161132812</v>
      </c>
      <c r="D33" s="6">
        <f t="shared" si="0"/>
        <v>-4.832676544550607E-2</v>
      </c>
      <c r="F33" s="41">
        <f>'Data - Hind. Unilever'!F33</f>
        <v>23092.19921875</v>
      </c>
      <c r="G33" s="6">
        <f t="shared" si="1"/>
        <v>-4.7838230820473893E-3</v>
      </c>
    </row>
    <row r="34" spans="2:7" x14ac:dyDescent="0.35">
      <c r="B34" s="32">
        <v>45684</v>
      </c>
      <c r="C34" s="41">
        <v>1161.19482421875</v>
      </c>
      <c r="D34" s="6">
        <f t="shared" si="0"/>
        <v>5.4275322508230417E-2</v>
      </c>
      <c r="F34" s="41">
        <f>'Data - Hind. Unilever'!F34</f>
        <v>23482.150390625</v>
      </c>
      <c r="G34" s="6">
        <f t="shared" si="1"/>
        <v>1.688670568710382E-2</v>
      </c>
    </row>
    <row r="35" spans="2:7" x14ac:dyDescent="0.35">
      <c r="B35" s="32">
        <v>45691</v>
      </c>
      <c r="C35" s="41">
        <v>1082.963134765625</v>
      </c>
      <c r="D35" s="6">
        <f t="shared" si="0"/>
        <v>-6.7371717322077362E-2</v>
      </c>
      <c r="F35" s="41">
        <f>'Data - Hind. Unilever'!F35</f>
        <v>23559.94921875</v>
      </c>
      <c r="G35" s="6">
        <f t="shared" si="1"/>
        <v>3.313104925691146E-3</v>
      </c>
    </row>
    <row r="36" spans="2:7" x14ac:dyDescent="0.35">
      <c r="B36" s="32">
        <v>45698</v>
      </c>
      <c r="C36" s="41">
        <v>1036.141479492188</v>
      </c>
      <c r="D36" s="6">
        <f t="shared" si="0"/>
        <v>-4.3234763742507454E-2</v>
      </c>
      <c r="F36" s="41">
        <f>'Data - Hind. Unilever'!F36</f>
        <v>22929.25</v>
      </c>
      <c r="G36" s="6">
        <f t="shared" si="1"/>
        <v>-2.6769973606227571E-2</v>
      </c>
    </row>
    <row r="37" spans="2:7" x14ac:dyDescent="0.35">
      <c r="B37" s="32">
        <v>45705</v>
      </c>
      <c r="C37" s="41">
        <v>1029.585571289062</v>
      </c>
      <c r="D37" s="6">
        <f t="shared" si="0"/>
        <v>-6.3272326539218771E-3</v>
      </c>
      <c r="F37" s="41">
        <f>'Data - Hind. Unilever'!F37</f>
        <v>22795.900390625</v>
      </c>
      <c r="G37" s="6">
        <f t="shared" si="1"/>
        <v>-5.8156986981693359E-3</v>
      </c>
    </row>
    <row r="38" spans="2:7" x14ac:dyDescent="0.35">
      <c r="B38" s="32">
        <v>45712</v>
      </c>
      <c r="C38" s="41">
        <v>983.546875</v>
      </c>
      <c r="D38" s="6">
        <f t="shared" si="0"/>
        <v>-4.4715755127978984E-2</v>
      </c>
      <c r="F38" s="41">
        <f>'Data - Hind. Unilever'!F38</f>
        <v>22124.69921875</v>
      </c>
      <c r="G38" s="6">
        <f t="shared" si="1"/>
        <v>-2.9443942128780209E-2</v>
      </c>
    </row>
    <row r="39" spans="2:7" x14ac:dyDescent="0.35">
      <c r="B39" s="32">
        <v>45719</v>
      </c>
      <c r="C39" s="41">
        <v>1022.833862304688</v>
      </c>
      <c r="D39" s="6">
        <f t="shared" si="0"/>
        <v>3.9944194123628263E-2</v>
      </c>
      <c r="F39" s="41">
        <f>'Data - Hind. Unilever'!F39</f>
        <v>22552.5</v>
      </c>
      <c r="G39" s="6">
        <f t="shared" si="1"/>
        <v>1.9335891395416249E-2</v>
      </c>
    </row>
    <row r="40" spans="2:7" x14ac:dyDescent="0.35">
      <c r="B40" s="32">
        <v>45726</v>
      </c>
      <c r="C40" s="41">
        <v>1003.753051757812</v>
      </c>
      <c r="D40" s="6">
        <f t="shared" si="0"/>
        <v>-1.8654848309267225E-2</v>
      </c>
      <c r="F40" s="41">
        <f>'Data - Hind. Unilever'!F40</f>
        <v>22397.19921875</v>
      </c>
      <c r="G40" s="6">
        <f t="shared" si="1"/>
        <v>-6.8861891697150623E-3</v>
      </c>
    </row>
    <row r="41" spans="2:7" x14ac:dyDescent="0.35">
      <c r="B41" s="32">
        <v>45733</v>
      </c>
      <c r="C41" s="41">
        <v>1088.051391601562</v>
      </c>
      <c r="D41" s="6">
        <f t="shared" si="0"/>
        <v>8.3983146747223847E-2</v>
      </c>
      <c r="F41" s="41">
        <f>'Data - Hind. Unilever'!F41</f>
        <v>23350.400390625</v>
      </c>
      <c r="G41" s="6">
        <f t="shared" si="1"/>
        <v>4.2558945096895062E-2</v>
      </c>
    </row>
    <row r="42" spans="2:7" x14ac:dyDescent="0.35">
      <c r="B42" s="32">
        <v>45740</v>
      </c>
      <c r="C42" s="41">
        <v>1134.334838867188</v>
      </c>
      <c r="D42" s="6">
        <f t="shared" si="0"/>
        <v>4.2537923872785877E-2</v>
      </c>
      <c r="F42" s="41">
        <f>'Data - Hind. Unilever'!F42</f>
        <v>23519.349609375</v>
      </c>
      <c r="G42" s="6">
        <f t="shared" si="1"/>
        <v>7.2353885125597817E-3</v>
      </c>
    </row>
    <row r="43" spans="2:7" x14ac:dyDescent="0.35">
      <c r="B43" s="32">
        <v>45747</v>
      </c>
      <c r="C43" s="41">
        <v>1131.741821289062</v>
      </c>
      <c r="D43" s="6">
        <f t="shared" si="0"/>
        <v>-2.2859366469917264E-3</v>
      </c>
      <c r="F43" s="41">
        <f>'Data - Hind. Unilever'!F43</f>
        <v>22904.44921875</v>
      </c>
      <c r="G43" s="6">
        <f t="shared" si="1"/>
        <v>-2.6144447054772924E-2</v>
      </c>
    </row>
    <row r="44" spans="2:7" x14ac:dyDescent="0.35">
      <c r="B44" s="32">
        <v>45754</v>
      </c>
      <c r="C44" s="41">
        <v>1197.3017578125</v>
      </c>
      <c r="D44" s="6">
        <f t="shared" si="0"/>
        <v>5.7928350168030995E-2</v>
      </c>
      <c r="F44" s="41">
        <f>'Data - Hind. Unilever'!F44</f>
        <v>22828.55078125</v>
      </c>
      <c r="G44" s="6">
        <f t="shared" si="1"/>
        <v>-3.3136984336592512E-3</v>
      </c>
    </row>
    <row r="45" spans="2:7" x14ac:dyDescent="0.35">
      <c r="B45" s="32">
        <v>45761</v>
      </c>
      <c r="C45" s="41">
        <v>1212.664306640625</v>
      </c>
      <c r="D45" s="6">
        <f t="shared" si="0"/>
        <v>1.2830974921637761E-2</v>
      </c>
      <c r="F45" s="41">
        <f>'Data - Hind. Unilever'!F45</f>
        <v>23851.650390625</v>
      </c>
      <c r="G45" s="6">
        <f t="shared" si="1"/>
        <v>4.4816669230502093E-2</v>
      </c>
    </row>
    <row r="46" spans="2:7" x14ac:dyDescent="0.35">
      <c r="B46" s="32">
        <v>45768</v>
      </c>
      <c r="C46" s="41">
        <v>1239.279907226562</v>
      </c>
      <c r="D46" s="6">
        <f t="shared" si="0"/>
        <v>2.1948036600226706E-2</v>
      </c>
      <c r="F46" s="41">
        <f>'Data - Hind. Unilever'!F46</f>
        <v>24039.349609375</v>
      </c>
      <c r="G46" s="6">
        <f t="shared" si="1"/>
        <v>7.8694436517390276E-3</v>
      </c>
    </row>
    <row r="47" spans="2:7" x14ac:dyDescent="0.35">
      <c r="B47" s="32">
        <v>45775</v>
      </c>
      <c r="C47" s="41">
        <v>1231.45166015625</v>
      </c>
      <c r="D47" s="6">
        <f t="shared" si="0"/>
        <v>-6.3167707510333182E-3</v>
      </c>
      <c r="F47" s="41">
        <f>'Data - Hind. Unilever'!F47</f>
        <v>24346.69921875</v>
      </c>
      <c r="G47" s="6">
        <f t="shared" si="1"/>
        <v>1.2785271414129218E-2</v>
      </c>
    </row>
    <row r="48" spans="2:7" x14ac:dyDescent="0.35">
      <c r="B48" s="32">
        <v>45782</v>
      </c>
      <c r="C48" s="41">
        <v>1215.404174804688</v>
      </c>
      <c r="D48" s="6">
        <f t="shared" si="0"/>
        <v>-1.3031356301493768E-2</v>
      </c>
      <c r="F48" s="41">
        <f>'Data - Hind. Unilever'!F48</f>
        <v>24008</v>
      </c>
      <c r="G48" s="6">
        <f t="shared" si="1"/>
        <v>-1.391150462355728E-2</v>
      </c>
    </row>
    <row r="49" spans="2:7" x14ac:dyDescent="0.35">
      <c r="B49" s="32">
        <v>45789</v>
      </c>
      <c r="C49" s="41">
        <v>1276.52001953125</v>
      </c>
      <c r="D49" s="6">
        <f t="shared" si="0"/>
        <v>5.0284379462809614E-2</v>
      </c>
      <c r="F49" s="41">
        <f>'Data - Hind. Unilever'!F49</f>
        <v>25019.80078125</v>
      </c>
      <c r="G49" s="6">
        <f t="shared" si="1"/>
        <v>4.2144317779490237E-2</v>
      </c>
    </row>
    <row r="50" spans="2:7" x14ac:dyDescent="0.35">
      <c r="B50" s="32">
        <v>45796</v>
      </c>
      <c r="C50" s="41">
        <v>1254.810913085938</v>
      </c>
      <c r="D50" s="6">
        <f t="shared" si="0"/>
        <v>-1.7006475506184282E-2</v>
      </c>
      <c r="F50" s="41">
        <f>'Data - Hind. Unilever'!F50</f>
        <v>24853.150390625</v>
      </c>
      <c r="G50" s="6">
        <f t="shared" si="1"/>
        <v>-6.6607401106841824E-3</v>
      </c>
    </row>
    <row r="51" spans="2:7" x14ac:dyDescent="0.35">
      <c r="B51" s="32">
        <v>45803</v>
      </c>
      <c r="C51" s="41">
        <v>1209.62451171875</v>
      </c>
      <c r="D51" s="6">
        <f t="shared" si="0"/>
        <v>-3.6010526284045219E-2</v>
      </c>
      <c r="F51" s="41">
        <f>'Data - Hind. Unilever'!F51</f>
        <v>24750.69921875</v>
      </c>
      <c r="G51" s="6">
        <f t="shared" si="1"/>
        <v>-4.1222609715364511E-3</v>
      </c>
    </row>
    <row r="52" spans="2:7" x14ac:dyDescent="0.35">
      <c r="B52" s="32">
        <v>45810</v>
      </c>
      <c r="C52" s="41">
        <v>1188.701049804688</v>
      </c>
      <c r="D52" s="6">
        <f t="shared" si="0"/>
        <v>-1.72974850553681E-2</v>
      </c>
      <c r="F52" s="41">
        <f>'Data - Hind. Unilever'!F52</f>
        <v>25003.05078125</v>
      </c>
      <c r="G52" s="6">
        <f t="shared" si="1"/>
        <v>1.0195734684894431E-2</v>
      </c>
    </row>
    <row r="53" spans="2:7" x14ac:dyDescent="0.35">
      <c r="B53" s="32">
        <v>45817</v>
      </c>
      <c r="C53" s="41">
        <v>1167.777709960938</v>
      </c>
      <c r="D53" s="6">
        <f t="shared" si="0"/>
        <v>-1.7601851909853861E-2</v>
      </c>
      <c r="F53" s="41">
        <f>'Data - Hind. Unilever'!F53</f>
        <v>24718.599609375</v>
      </c>
      <c r="G53" s="6">
        <f t="shared" si="1"/>
        <v>-1.1376658567134212E-2</v>
      </c>
    </row>
    <row r="54" spans="2:7" x14ac:dyDescent="0.35">
      <c r="B54" s="32">
        <v>45824</v>
      </c>
      <c r="C54" s="41">
        <v>1168.3671875</v>
      </c>
      <c r="D54" s="6">
        <f t="shared" si="0"/>
        <v>5.0478574306889179E-4</v>
      </c>
      <c r="F54" s="41">
        <f>'Data - Hind. Unilever'!F54</f>
        <v>25112.400390625</v>
      </c>
      <c r="G54" s="6">
        <f t="shared" si="1"/>
        <v>1.5931354828881306E-2</v>
      </c>
    </row>
    <row r="55" spans="2:7" x14ac:dyDescent="0.35">
      <c r="B55" s="32">
        <v>45831</v>
      </c>
      <c r="C55" s="41">
        <v>1155.597045898438</v>
      </c>
      <c r="D55" s="6">
        <f t="shared" si="0"/>
        <v>-1.0929904347011687E-2</v>
      </c>
      <c r="F55" s="41">
        <f>'Data - Hind. Unilever'!F55</f>
        <v>25637.80078125</v>
      </c>
      <c r="G55" s="6">
        <f t="shared" si="1"/>
        <v>2.092195020995069E-2</v>
      </c>
    </row>
    <row r="56" spans="2:7" x14ac:dyDescent="0.35">
      <c r="B56" s="32">
        <v>45838</v>
      </c>
      <c r="C56" s="41">
        <v>1171.80517578125</v>
      </c>
      <c r="D56" s="6">
        <f t="shared" si="0"/>
        <v>1.4025762648268714E-2</v>
      </c>
      <c r="F56" s="41">
        <f>'Data - Hind. Unilever'!F56</f>
        <v>25461</v>
      </c>
      <c r="G56" s="6">
        <f t="shared" si="1"/>
        <v>-6.896097787736255E-3</v>
      </c>
    </row>
    <row r="57" spans="2:7" x14ac:dyDescent="0.35">
      <c r="B57" s="32">
        <v>45845</v>
      </c>
      <c r="C57" s="41">
        <v>1262.276489257812</v>
      </c>
      <c r="D57" s="6">
        <f t="shared" si="0"/>
        <v>7.72067877377689E-2</v>
      </c>
      <c r="F57" s="41">
        <f>'Data - Hind. Unilever'!F57</f>
        <v>25149.849609375</v>
      </c>
      <c r="G57" s="6">
        <f t="shared" si="1"/>
        <v>-1.2220666534111024E-2</v>
      </c>
    </row>
    <row r="58" spans="2:7" x14ac:dyDescent="0.35">
      <c r="B58" s="32">
        <v>45852</v>
      </c>
      <c r="C58" s="41">
        <v>1229.172485351562</v>
      </c>
      <c r="D58" s="6">
        <f t="shared" si="0"/>
        <v>-2.6225636132789165E-2</v>
      </c>
      <c r="F58" s="41">
        <f>'Data - Hind. Unilever'!F58</f>
        <v>24968.400390625</v>
      </c>
      <c r="G58" s="6">
        <f t="shared" si="1"/>
        <v>-7.2147238082235221E-3</v>
      </c>
    </row>
    <row r="59" spans="2:7" x14ac:dyDescent="0.35">
      <c r="B59" s="32">
        <v>45859</v>
      </c>
      <c r="C59" s="41">
        <v>1195.577270507812</v>
      </c>
      <c r="D59" s="6">
        <f t="shared" si="0"/>
        <v>-2.7331570828435292E-2</v>
      </c>
      <c r="F59" s="41">
        <f>'Data - Hind. Unilever'!F59</f>
        <v>24837</v>
      </c>
      <c r="G59" s="6">
        <f t="shared" si="1"/>
        <v>-5.2626675545597301E-3</v>
      </c>
    </row>
    <row r="60" spans="2:7" x14ac:dyDescent="0.35">
      <c r="B60" s="32">
        <v>45866</v>
      </c>
      <c r="C60" s="41">
        <v>1244.103637695312</v>
      </c>
      <c r="D60" s="6">
        <f t="shared" si="0"/>
        <v>4.0588231630473315E-2</v>
      </c>
      <c r="F60" s="41">
        <f>'Data - Hind. Unilever'!F60</f>
        <v>24565.349609375</v>
      </c>
      <c r="G60" s="6">
        <f t="shared" si="1"/>
        <v>-1.0937326997020547E-2</v>
      </c>
    </row>
    <row r="61" spans="2:7" x14ac:dyDescent="0.35">
      <c r="B61" s="32">
        <v>45873</v>
      </c>
      <c r="C61" s="41">
        <v>1165.125366210938</v>
      </c>
      <c r="D61" s="6">
        <f t="shared" si="0"/>
        <v>-6.348206780480159E-2</v>
      </c>
      <c r="F61" s="41">
        <f>'Data - Hind. Unilever'!F61</f>
        <v>24363.30078125</v>
      </c>
      <c r="G61" s="6">
        <f t="shared" si="1"/>
        <v>-8.2249522737462E-3</v>
      </c>
    </row>
    <row r="62" spans="2:7" x14ac:dyDescent="0.35">
      <c r="B62" s="32">
        <v>45880</v>
      </c>
      <c r="C62" s="41">
        <v>1168.814697265625</v>
      </c>
      <c r="D62" s="6">
        <f t="shared" si="0"/>
        <v>3.1664670272222306E-3</v>
      </c>
      <c r="F62" s="41">
        <f>'Data - Hind. Unilever'!F62</f>
        <v>24631.30078125</v>
      </c>
      <c r="G62" s="6">
        <f t="shared" si="1"/>
        <v>1.1000151515029977E-2</v>
      </c>
    </row>
    <row r="63" spans="2:7" x14ac:dyDescent="0.35">
      <c r="B63" s="32">
        <v>45887</v>
      </c>
      <c r="C63" s="41">
        <v>1240.133178710938</v>
      </c>
      <c r="D63" s="6">
        <f t="shared" si="0"/>
        <v>6.1017782897629935E-2</v>
      </c>
      <c r="F63" s="41">
        <f>'Data - Hind. Unilever'!F63</f>
        <v>24870.099609375</v>
      </c>
      <c r="G63" s="6">
        <f t="shared" si="1"/>
        <v>9.6949337043044093E-3</v>
      </c>
    </row>
    <row r="64" spans="2:7" x14ac:dyDescent="0.35">
      <c r="B64" s="32">
        <v>45894</v>
      </c>
      <c r="C64" s="41">
        <v>1225.7314453125</v>
      </c>
      <c r="D64" s="6">
        <f t="shared" si="0"/>
        <v>-1.1613053860399014E-2</v>
      </c>
      <c r="F64" s="41">
        <f>'Data - Hind. Unilever'!F64</f>
        <v>24426.849609375</v>
      </c>
      <c r="G64" s="6">
        <f t="shared" si="1"/>
        <v>-1.7822606542070796E-2</v>
      </c>
    </row>
    <row r="65" spans="2:7" x14ac:dyDescent="0.35">
      <c r="B65" s="32">
        <v>45901</v>
      </c>
      <c r="C65" s="41">
        <v>1214.782104492188</v>
      </c>
      <c r="D65" s="6">
        <f t="shared" si="0"/>
        <v>-8.9329035835582493E-3</v>
      </c>
      <c r="F65" s="41">
        <f>'Data - Hind. Unilever'!F65</f>
        <v>24741</v>
      </c>
      <c r="G65" s="6">
        <f t="shared" si="1"/>
        <v>1.2860863993874538E-2</v>
      </c>
    </row>
    <row r="66" spans="2:7" x14ac:dyDescent="0.35">
      <c r="B66" s="32">
        <v>45908</v>
      </c>
      <c r="C66" s="41">
        <v>1232.734985351562</v>
      </c>
      <c r="D66" s="6">
        <f t="shared" si="0"/>
        <v>1.4778684006774068E-2</v>
      </c>
      <c r="F66" s="41">
        <f>'Data - Hind. Unilever'!F66</f>
        <v>25114</v>
      </c>
      <c r="G66" s="6">
        <f t="shared" si="1"/>
        <v>1.5076189321369338E-2</v>
      </c>
    </row>
    <row r="67" spans="2:7" x14ac:dyDescent="0.35">
      <c r="B67" s="32">
        <v>45915</v>
      </c>
      <c r="C67" s="41">
        <v>1222.081665039062</v>
      </c>
      <c r="D67" s="6">
        <f t="shared" si="0"/>
        <v>-8.6420199305544676E-3</v>
      </c>
      <c r="F67" s="41">
        <f>'Data - Hind. Unilever'!F67</f>
        <v>25327.05078125</v>
      </c>
      <c r="G67" s="6">
        <f t="shared" si="1"/>
        <v>8.483347186827972E-3</v>
      </c>
    </row>
    <row r="68" spans="2:7" x14ac:dyDescent="0.35">
      <c r="B68" s="32">
        <v>45922</v>
      </c>
      <c r="C68" s="41">
        <v>1148.099731445312</v>
      </c>
      <c r="D68" s="6">
        <f t="shared" si="0"/>
        <v>-6.0537634848965127E-2</v>
      </c>
      <c r="F68" s="41">
        <f>'Data - Hind. Unilever'!F68</f>
        <v>24654.69921875</v>
      </c>
      <c r="G68" s="6">
        <f t="shared" si="1"/>
        <v>-2.6546776737138011E-2</v>
      </c>
    </row>
    <row r="69" spans="2:7" x14ac:dyDescent="0.35">
      <c r="B69" s="32">
        <v>45929</v>
      </c>
      <c r="C69" s="41">
        <v>1133.402099609375</v>
      </c>
      <c r="D69" s="6">
        <f t="shared" si="0"/>
        <v>-1.2801703051906976E-2</v>
      </c>
      <c r="F69" s="41">
        <f>'Data - Hind. Unilever'!F69</f>
        <v>24894.25</v>
      </c>
      <c r="G69" s="6">
        <f t="shared" si="1"/>
        <v>9.7162321521173656E-3</v>
      </c>
    </row>
    <row r="70" spans="2:7" x14ac:dyDescent="0.35">
      <c r="B70" s="32">
        <v>45936</v>
      </c>
      <c r="C70" s="41">
        <v>1114.462768554688</v>
      </c>
      <c r="D70" s="6">
        <f t="shared" si="0"/>
        <v>-1.6710160552212194E-2</v>
      </c>
      <c r="F70" s="41">
        <f>'Data - Hind. Unilever'!F70</f>
        <v>25285.349609375</v>
      </c>
      <c r="G70" s="6">
        <f t="shared" si="1"/>
        <v>1.5710439534229792E-2</v>
      </c>
    </row>
    <row r="71" spans="2:7" x14ac:dyDescent="0.35">
      <c r="B71" s="32">
        <v>45943</v>
      </c>
      <c r="C71" s="41">
        <v>1116.830078125</v>
      </c>
      <c r="D71" s="6">
        <f t="shared" si="0"/>
        <v>2.1241710688837401E-3</v>
      </c>
      <c r="F71" s="41">
        <f>'Data - Hind. Unilever'!F71</f>
        <v>25709.849609375</v>
      </c>
      <c r="G71" s="6">
        <f t="shared" si="1"/>
        <v>1.6788377719033409E-2</v>
      </c>
    </row>
    <row r="72" spans="2:7" x14ac:dyDescent="0.35">
      <c r="B72" s="32">
        <v>45950</v>
      </c>
      <c r="C72" s="41">
        <v>1115.054565429688</v>
      </c>
      <c r="D72" s="6">
        <f t="shared" si="0"/>
        <v>-1.5897787229126603E-3</v>
      </c>
      <c r="F72" s="41">
        <f>'Data - Hind. Unilever'!F72</f>
        <v>25795.150390625</v>
      </c>
      <c r="G72" s="6">
        <f t="shared" si="1"/>
        <v>3.3178249793766046E-3</v>
      </c>
    </row>
    <row r="73" spans="2:7" x14ac:dyDescent="0.35">
      <c r="B73" s="32">
        <v>45957</v>
      </c>
      <c r="C73" s="41">
        <v>1103.414672851562</v>
      </c>
      <c r="D73" s="6">
        <f t="shared" ref="D73:D84" si="2">IFERROR(C73/C72-1,0)</f>
        <v>-1.043885468837169E-2</v>
      </c>
      <c r="F73" s="41">
        <f>'Data - Hind. Unilever'!F73</f>
        <v>25722.099609375</v>
      </c>
      <c r="G73" s="6">
        <f t="shared" ref="G73:G111" si="3">IFERROR(F73/F72-1,0)</f>
        <v>-2.8319579511562054E-3</v>
      </c>
    </row>
    <row r="74" spans="2:7" x14ac:dyDescent="0.35">
      <c r="B74" s="32">
        <v>45964</v>
      </c>
      <c r="C74" s="41">
        <v>1111.420532226562</v>
      </c>
      <c r="D74" s="6">
        <f t="shared" si="2"/>
        <v>7.2555310093080916E-3</v>
      </c>
      <c r="F74" s="41">
        <f>'Data - Hind. Unilever'!F74</f>
        <v>25492.30078125</v>
      </c>
      <c r="G74" s="6">
        <f t="shared" si="3"/>
        <v>-8.9339063146013364E-3</v>
      </c>
    </row>
    <row r="75" spans="2:7" x14ac:dyDescent="0.35">
      <c r="B75" s="32">
        <v>45971</v>
      </c>
      <c r="C75" s="41">
        <v>1135.891967773438</v>
      </c>
      <c r="D75" s="6">
        <f t="shared" si="2"/>
        <v>2.2018160396813258E-2</v>
      </c>
      <c r="F75" s="41">
        <f>'Data - Hind. Unilever'!F75</f>
        <v>25910.05078125</v>
      </c>
      <c r="G75" s="6">
        <f t="shared" si="3"/>
        <v>1.6387300761305124E-2</v>
      </c>
    </row>
    <row r="76" spans="2:7" x14ac:dyDescent="0.35">
      <c r="B76" s="32">
        <v>45978</v>
      </c>
      <c r="C76" s="41">
        <v>1114.788940429688</v>
      </c>
      <c r="D76" s="6">
        <f t="shared" si="2"/>
        <v>-1.8578375358279775E-2</v>
      </c>
      <c r="F76" s="41">
        <f>'Data - Hind. Unilever'!F76</f>
        <v>26068.150390625</v>
      </c>
      <c r="G76" s="6">
        <f t="shared" si="3"/>
        <v>6.1018641263879125E-3</v>
      </c>
    </row>
    <row r="77" spans="2:7" x14ac:dyDescent="0.35">
      <c r="B77" s="32">
        <v>45985</v>
      </c>
      <c r="C77" s="41">
        <v>1135.000244140625</v>
      </c>
      <c r="D77" s="6">
        <f t="shared" si="2"/>
        <v>1.8130161663737709E-2</v>
      </c>
      <c r="F77" s="41">
        <f>'Data - Hind. Unilever'!F77</f>
        <v>26202.94921875</v>
      </c>
      <c r="G77" s="6">
        <f t="shared" si="3"/>
        <v>5.1710162057940767E-3</v>
      </c>
    </row>
    <row r="78" spans="2:7" x14ac:dyDescent="0.35">
      <c r="B78" s="32">
        <v>45992</v>
      </c>
      <c r="C78" s="41">
        <v>1125.489013671875</v>
      </c>
      <c r="D78" s="6">
        <f t="shared" si="2"/>
        <v>-8.3799369364466747E-3</v>
      </c>
      <c r="F78" s="41">
        <f>'Data - Hind. Unilever'!F78</f>
        <v>26186.44921875</v>
      </c>
      <c r="G78" s="6">
        <f t="shared" si="3"/>
        <v>-6.2970010979501723E-4</v>
      </c>
    </row>
    <row r="79" spans="2:7" x14ac:dyDescent="0.35">
      <c r="B79" s="32">
        <v>45999</v>
      </c>
      <c r="C79" s="41">
        <v>1143.124389648438</v>
      </c>
      <c r="D79" s="6">
        <f t="shared" si="2"/>
        <v>1.5669078740296216E-2</v>
      </c>
      <c r="F79" s="41">
        <f>'Data - Hind. Unilever'!F79</f>
        <v>26046.94921875</v>
      </c>
      <c r="G79" s="6">
        <f t="shared" si="3"/>
        <v>-5.3271827285432671E-3</v>
      </c>
    </row>
    <row r="80" spans="2:7" x14ac:dyDescent="0.35">
      <c r="B80" s="32">
        <v>46006</v>
      </c>
      <c r="C80" s="41">
        <v>1175.224487304688</v>
      </c>
      <c r="D80" s="6">
        <f t="shared" si="2"/>
        <v>2.8081018957282655E-2</v>
      </c>
      <c r="F80" s="41">
        <f>'Data - Hind. Unilever'!F80</f>
        <v>25966.400390625</v>
      </c>
      <c r="G80" s="6">
        <f t="shared" si="3"/>
        <v>-3.0924476969846904E-3</v>
      </c>
    </row>
    <row r="81" spans="2:7" x14ac:dyDescent="0.35">
      <c r="B81" s="32">
        <v>46013</v>
      </c>
      <c r="C81" s="41">
        <v>1195.039428710938</v>
      </c>
      <c r="D81" s="6">
        <f t="shared" si="2"/>
        <v>1.6860558659473224E-2</v>
      </c>
      <c r="F81" s="41">
        <f>'Data - Hind. Unilever'!F81</f>
        <v>26042.30078125</v>
      </c>
      <c r="G81" s="6">
        <f t="shared" si="3"/>
        <v>2.9230231947130481E-3</v>
      </c>
    </row>
    <row r="82" spans="2:7" x14ac:dyDescent="0.35">
      <c r="B82" s="32">
        <v>46020</v>
      </c>
      <c r="C82" s="41">
        <v>1223.771118164062</v>
      </c>
      <c r="D82" s="6">
        <f t="shared" si="2"/>
        <v>2.4042461497790324E-2</v>
      </c>
      <c r="F82" s="41">
        <f>'Data - Hind. Unilever'!F82</f>
        <v>26328.55078125</v>
      </c>
      <c r="G82" s="6">
        <f t="shared" si="3"/>
        <v>1.099173235131734E-2</v>
      </c>
    </row>
    <row r="83" spans="2:7" x14ac:dyDescent="0.35">
      <c r="B83" s="32">
        <v>46027</v>
      </c>
      <c r="C83" s="41">
        <v>1218.223022460938</v>
      </c>
      <c r="D83" s="6">
        <f t="shared" si="2"/>
        <v>-4.5336056888215515E-3</v>
      </c>
      <c r="F83" s="41">
        <f>'Data - Hind. Unilever'!F83</f>
        <v>25683.30078125</v>
      </c>
      <c r="G83" s="6">
        <f t="shared" si="3"/>
        <v>-2.4507615529659854E-2</v>
      </c>
    </row>
    <row r="84" spans="2:7" x14ac:dyDescent="0.35">
      <c r="B84" s="32">
        <v>46034</v>
      </c>
      <c r="C84" s="41">
        <v>1225.45556640625</v>
      </c>
      <c r="D84" s="6">
        <f t="shared" si="2"/>
        <v>5.9369621259508509E-3</v>
      </c>
      <c r="F84" s="41">
        <f>'Data - Hind. Unilever'!F84</f>
        <v>25694.349609375</v>
      </c>
      <c r="G84" s="6">
        <f t="shared" si="3"/>
        <v>4.3019502123597952E-4</v>
      </c>
    </row>
    <row r="85" spans="2:7" x14ac:dyDescent="0.35">
      <c r="B85" s="32">
        <v>46041</v>
      </c>
      <c r="C85" s="41">
        <v>1228.923095703125</v>
      </c>
      <c r="D85" s="6">
        <f>IFERROR(C85/C84-1,0)</f>
        <v>2.8295838641003712E-3</v>
      </c>
      <c r="F85" s="41">
        <f>'Data - Hind. Unilever'!F85</f>
        <v>25048.650390625</v>
      </c>
      <c r="G85" s="6">
        <f t="shared" si="3"/>
        <v>-2.5130008292344796E-2</v>
      </c>
    </row>
    <row r="86" spans="2:7" x14ac:dyDescent="0.35">
      <c r="B86" s="32">
        <v>46048</v>
      </c>
      <c r="C86" s="41">
        <v>1155.357055664062</v>
      </c>
      <c r="D86" s="6">
        <f t="shared" ref="D86:D111" si="4">IFERROR(C86/C85-1,0)</f>
        <v>-5.9862199918191306E-2</v>
      </c>
      <c r="F86" s="41">
        <f>'Data - Hind. Unilever'!F86</f>
        <v>24825.44921875</v>
      </c>
      <c r="G86" s="6">
        <f t="shared" si="3"/>
        <v>-8.9107065009194075E-3</v>
      </c>
    </row>
    <row r="87" spans="2:7" x14ac:dyDescent="0.35">
      <c r="B87" s="32">
        <v>46055</v>
      </c>
      <c r="C87" s="41">
        <v>1175.954711914062</v>
      </c>
      <c r="D87" s="6">
        <f t="shared" si="4"/>
        <v>1.7827957295990293E-2</v>
      </c>
      <c r="F87" s="41">
        <f>'Data - Hind. Unilever'!F87</f>
        <v>25693.69921875</v>
      </c>
      <c r="G87" s="6">
        <f t="shared" si="3"/>
        <v>3.4974190893763746E-2</v>
      </c>
    </row>
    <row r="88" spans="2:7" x14ac:dyDescent="0.35">
      <c r="B88" s="32">
        <v>46062</v>
      </c>
      <c r="C88" s="41">
        <v>1189.487426757812</v>
      </c>
      <c r="D88" s="6">
        <f t="shared" si="4"/>
        <v>1.1507853752057651E-2</v>
      </c>
      <c r="F88" s="41">
        <f>'Data - Hind. Unilever'!F88</f>
        <v>25471.099609375</v>
      </c>
      <c r="G88" s="6">
        <f t="shared" si="3"/>
        <v>-8.6635874219527231E-3</v>
      </c>
    </row>
    <row r="89" spans="2:7" x14ac:dyDescent="0.35">
      <c r="B89" s="32">
        <v>46069</v>
      </c>
      <c r="C89" s="41">
        <v>1199.935546875</v>
      </c>
      <c r="D89" s="6">
        <f t="shared" si="4"/>
        <v>8.7837163152422182E-3</v>
      </c>
      <c r="F89" s="41">
        <f>'Data - Hind. Unilever'!F89</f>
        <v>25571.25</v>
      </c>
      <c r="G89" s="6">
        <f t="shared" si="3"/>
        <v>3.9319225381277967E-3</v>
      </c>
    </row>
    <row r="90" spans="2:7" x14ac:dyDescent="0.35">
      <c r="B90" s="32">
        <v>46076</v>
      </c>
      <c r="C90" s="41">
        <v>1211.478149414062</v>
      </c>
      <c r="D90" s="6">
        <f t="shared" si="4"/>
        <v>9.6193521136385129E-3</v>
      </c>
      <c r="F90" s="41">
        <f>'Data - Hind. Unilever'!F90</f>
        <v>25178.650390625</v>
      </c>
      <c r="G90" s="6">
        <f t="shared" si="3"/>
        <v>-1.5353164564696709E-2</v>
      </c>
    </row>
    <row r="91" spans="2:7" x14ac:dyDescent="0.35">
      <c r="B91" s="32">
        <v>46083</v>
      </c>
      <c r="C91" s="41">
        <v>1111.0771484375</v>
      </c>
      <c r="D91" s="6">
        <f t="shared" si="4"/>
        <v>-8.2874793098927535E-2</v>
      </c>
      <c r="F91" s="41">
        <f>'Data - Hind. Unilever'!F91</f>
        <v>24450.44921875</v>
      </c>
      <c r="G91" s="6">
        <f t="shared" si="3"/>
        <v>-2.8921374282480872E-2</v>
      </c>
    </row>
    <row r="92" spans="2:7" x14ac:dyDescent="0.35">
      <c r="B92" s="32">
        <v>46090</v>
      </c>
      <c r="C92" s="41">
        <v>1022.81591796875</v>
      </c>
      <c r="D92" s="6">
        <f t="shared" si="4"/>
        <v>-7.943753554185784E-2</v>
      </c>
      <c r="F92" s="41">
        <f>'Data - Hind. Unilever'!F92</f>
        <v>23151.099609375</v>
      </c>
      <c r="G92" s="6">
        <f t="shared" si="3"/>
        <v>-5.3142156929312567E-2</v>
      </c>
    </row>
    <row r="93" spans="2:7" x14ac:dyDescent="0.35">
      <c r="B93" s="32">
        <v>46097</v>
      </c>
      <c r="C93" s="41">
        <v>1012.566833496094</v>
      </c>
      <c r="D93" s="6">
        <f t="shared" si="4"/>
        <v>-1.0020458513209429E-2</v>
      </c>
      <c r="F93" s="41">
        <f>'Data - Hind. Unilever'!F93</f>
        <v>23114.5</v>
      </c>
      <c r="G93" s="6">
        <f t="shared" si="3"/>
        <v>-1.5809015551113692E-3</v>
      </c>
    </row>
    <row r="94" spans="2:7" x14ac:dyDescent="0.35">
      <c r="B94" s="32">
        <v>46104</v>
      </c>
      <c r="C94" s="41">
        <v>1003.710876464844</v>
      </c>
      <c r="D94" s="6">
        <f t="shared" si="4"/>
        <v>-8.7460469159087451E-3</v>
      </c>
      <c r="F94" s="41">
        <f>'Data - Hind. Unilever'!F94</f>
        <v>22819.599609375</v>
      </c>
      <c r="G94" s="6">
        <f t="shared" si="3"/>
        <v>-1.2758242255943242E-2</v>
      </c>
    </row>
    <row r="95" spans="2:7" x14ac:dyDescent="0.35">
      <c r="B95" s="32">
        <v>46111</v>
      </c>
      <c r="C95" s="41">
        <v>989.87957763671875</v>
      </c>
      <c r="D95" s="6">
        <f t="shared" si="4"/>
        <v>-1.3780162347986402E-2</v>
      </c>
      <c r="F95" s="41">
        <f>'Data - Hind. Unilever'!F95</f>
        <v>22713.099609375</v>
      </c>
      <c r="G95" s="6">
        <f t="shared" si="3"/>
        <v>-4.6670406940990672E-3</v>
      </c>
    </row>
    <row r="96" spans="2:7" x14ac:dyDescent="0.35">
      <c r="B96" s="32">
        <v>46118</v>
      </c>
      <c r="C96" s="41">
        <v>1072.767578125</v>
      </c>
      <c r="D96" s="6">
        <f t="shared" si="4"/>
        <v>8.3735438492601011E-2</v>
      </c>
      <c r="F96" s="41">
        <f>'Data - Hind. Unilever'!F96</f>
        <v>24050.599609375</v>
      </c>
      <c r="G96" s="6">
        <f t="shared" si="3"/>
        <v>5.888672277243634E-2</v>
      </c>
    </row>
    <row r="97" spans="2:7" x14ac:dyDescent="0.35">
      <c r="B97" s="32">
        <v>46125</v>
      </c>
      <c r="C97" s="41">
        <v>1103.912841796875</v>
      </c>
      <c r="D97" s="6">
        <f t="shared" si="4"/>
        <v>2.9032629534079701E-2</v>
      </c>
      <c r="F97" s="41">
        <f>'Data - Hind. Unilever'!F97</f>
        <v>24353.55078125</v>
      </c>
      <c r="G97" s="6">
        <f t="shared" si="3"/>
        <v>1.2596408272370407E-2</v>
      </c>
    </row>
    <row r="98" spans="2:7" x14ac:dyDescent="0.35">
      <c r="B98" s="32">
        <v>46132</v>
      </c>
      <c r="C98" s="41">
        <v>1084.50927734375</v>
      </c>
      <c r="D98" s="6">
        <f t="shared" si="4"/>
        <v>-1.7577080108553855E-2</v>
      </c>
      <c r="F98" s="41">
        <f>'Data - Hind. Unilever'!F98</f>
        <v>23897.94921875</v>
      </c>
      <c r="G98" s="6">
        <f t="shared" si="3"/>
        <v>-1.8707808425651451E-2</v>
      </c>
    </row>
    <row r="99" spans="2:7" x14ac:dyDescent="0.35">
      <c r="B99" s="32">
        <v>46139</v>
      </c>
      <c r="C99" s="41">
        <v>1061.822021484375</v>
      </c>
      <c r="D99" s="6">
        <f t="shared" si="4"/>
        <v>-2.0919374627151321E-2</v>
      </c>
      <c r="F99" s="41">
        <f>'Data - Hind. Unilever'!F99</f>
        <v>23997.55078125</v>
      </c>
      <c r="G99" s="6">
        <f t="shared" si="3"/>
        <v>4.1677870175509391E-3</v>
      </c>
    </row>
    <row r="100" spans="2:7" x14ac:dyDescent="0.35">
      <c r="B100" s="32">
        <v>46146</v>
      </c>
      <c r="C100" s="41">
        <v>1037.244140625</v>
      </c>
      <c r="D100" s="6">
        <f t="shared" si="4"/>
        <v>-2.3146893134704749E-2</v>
      </c>
      <c r="F100" s="41">
        <f>'Data - Hind. Unilever'!F100</f>
        <v>24176.150390625</v>
      </c>
      <c r="G100" s="6">
        <f t="shared" si="3"/>
        <v>7.442409894369062E-3</v>
      </c>
    </row>
    <row r="101" spans="2:7" x14ac:dyDescent="0.35">
      <c r="B101" s="32">
        <v>46153</v>
      </c>
      <c r="C101" s="41">
        <v>1039.199951171875</v>
      </c>
      <c r="D101" s="6">
        <f t="shared" si="4"/>
        <v>1.8855836058968567E-3</v>
      </c>
      <c r="F101" s="41">
        <f>'Data - Hind. Unilever'!F101</f>
        <v>23643.5</v>
      </c>
      <c r="G101" s="6">
        <f t="shared" si="3"/>
        <v>-2.2032059778696267E-2</v>
      </c>
    </row>
    <row r="102" spans="2:7" x14ac:dyDescent="0.35">
      <c r="B102" s="32">
        <v>46160</v>
      </c>
      <c r="C102" s="41">
        <v>1027.5</v>
      </c>
      <c r="D102" s="6">
        <f t="shared" si="4"/>
        <v>-1.1258614050819848E-2</v>
      </c>
      <c r="F102" s="41">
        <f>'Data - Hind. Unilever'!F102</f>
        <v>23719.30078125</v>
      </c>
      <c r="G102" s="6">
        <f t="shared" si="3"/>
        <v>3.2059881679953328E-3</v>
      </c>
    </row>
    <row r="103" spans="2:7" x14ac:dyDescent="0.35">
      <c r="B103" s="32">
        <v>46167</v>
      </c>
      <c r="C103" s="41">
        <v>1029.300048828125</v>
      </c>
      <c r="D103" s="6">
        <f t="shared" si="4"/>
        <v>1.7518723388076918E-3</v>
      </c>
      <c r="F103" s="41">
        <f>'Data - Hind. Unilever'!F103</f>
        <v>23547.75</v>
      </c>
      <c r="G103" s="6">
        <f t="shared" si="3"/>
        <v>-7.2325395605932208E-3</v>
      </c>
    </row>
    <row r="104" spans="2:7" x14ac:dyDescent="0.35">
      <c r="B104" s="32">
        <v>46174</v>
      </c>
      <c r="C104" s="41">
        <v>998</v>
      </c>
      <c r="D104" s="6">
        <f t="shared" si="4"/>
        <v>-3.0409061831640494E-2</v>
      </c>
      <c r="F104" s="41">
        <f>'Data - Hind. Unilever'!F104</f>
        <v>23366.69921875</v>
      </c>
      <c r="G104" s="6">
        <f t="shared" si="3"/>
        <v>-7.6886658491788218E-3</v>
      </c>
    </row>
    <row r="105" spans="2:7" x14ac:dyDescent="0.35">
      <c r="B105" s="32">
        <v>46181</v>
      </c>
      <c r="C105" s="41">
        <v>1033.300048828125</v>
      </c>
      <c r="D105" s="6">
        <f t="shared" si="4"/>
        <v>3.5370790408942865E-2</v>
      </c>
      <c r="F105" s="41">
        <f>'Data - Hind. Unilever'!F105</f>
        <v>23622.900390625</v>
      </c>
      <c r="G105" s="6">
        <f t="shared" si="3"/>
        <v>1.0964371539024187E-2</v>
      </c>
    </row>
    <row r="106" spans="2:7" x14ac:dyDescent="0.35">
      <c r="B106" s="32">
        <v>46188</v>
      </c>
      <c r="C106" s="41">
        <v>1000.599975585938</v>
      </c>
      <c r="D106" s="6">
        <f t="shared" si="4"/>
        <v>-3.1646251521300628E-2</v>
      </c>
      <c r="F106" s="41">
        <f>'Data - Hind. Unilever'!F106</f>
        <v>24013.099609375</v>
      </c>
      <c r="G106" s="6">
        <f t="shared" si="3"/>
        <v>1.6517837026686744E-2</v>
      </c>
    </row>
    <row r="107" spans="2:7" x14ac:dyDescent="0.35">
      <c r="B107" s="32">
        <v>46195</v>
      </c>
      <c r="C107" s="41">
        <v>1034.599975585938</v>
      </c>
      <c r="D107" s="6">
        <f t="shared" si="4"/>
        <v>3.3979613061743352E-2</v>
      </c>
      <c r="F107" s="41">
        <f>'Data - Hind. Unilever'!F107</f>
        <v>24056</v>
      </c>
      <c r="G107" s="6">
        <f t="shared" si="3"/>
        <v>1.78654115140775E-3</v>
      </c>
    </row>
    <row r="108" spans="2:7" x14ac:dyDescent="0.35">
      <c r="B108" s="32">
        <v>46202</v>
      </c>
      <c r="C108" s="41">
        <v>1076.900024414062</v>
      </c>
      <c r="D108" s="6">
        <f t="shared" si="4"/>
        <v>4.0885414485118066E-2</v>
      </c>
      <c r="F108" s="41">
        <f>'Data - Hind. Unilever'!F108</f>
        <v>24270.849609375</v>
      </c>
      <c r="G108" s="6">
        <f t="shared" si="3"/>
        <v>8.9312275263966345E-3</v>
      </c>
    </row>
    <row r="109" spans="2:7" x14ac:dyDescent="0.35">
      <c r="B109" s="32">
        <v>46209</v>
      </c>
      <c r="C109" s="41">
        <v>1088.400024414062</v>
      </c>
      <c r="D109" s="6">
        <f t="shared" si="4"/>
        <v>1.0678800017909884E-2</v>
      </c>
      <c r="F109" s="41">
        <f>'Data - Hind. Unilever'!F109</f>
        <v>24206.900390625</v>
      </c>
      <c r="G109" s="6">
        <f t="shared" si="3"/>
        <v>-2.6348158296567448E-3</v>
      </c>
    </row>
    <row r="110" spans="2:7" x14ac:dyDescent="0.35">
      <c r="B110" s="32">
        <v>46216</v>
      </c>
      <c r="C110" s="41">
        <v>1071.900024414062</v>
      </c>
      <c r="D110" s="6">
        <f t="shared" si="4"/>
        <v>-1.5159867355646894E-2</v>
      </c>
      <c r="F110" s="41">
        <f>'Data - Hind. Unilever'!F110</f>
        <v>24334.30078125</v>
      </c>
      <c r="G110" s="6">
        <f t="shared" si="3"/>
        <v>5.2629782652529045E-3</v>
      </c>
    </row>
    <row r="111" spans="2:7" x14ac:dyDescent="0.35">
      <c r="B111" s="32">
        <v>46223</v>
      </c>
      <c r="C111" s="41">
        <v>1059.5</v>
      </c>
      <c r="D111" s="6">
        <f t="shared" si="4"/>
        <v>-1.1568265819230983E-2</v>
      </c>
      <c r="F111" s="41">
        <f>'Data - Hind. Unilever'!F111</f>
        <v>23869.599609375</v>
      </c>
      <c r="G111" s="6">
        <f t="shared" si="3"/>
        <v>-1.909654919006587E-2</v>
      </c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ED98-BF9A-420F-AF99-6289B941EE5D}">
  <sheetPr>
    <tabColor rgb="FF002060"/>
  </sheetPr>
  <dimension ref="B2:T112"/>
  <sheetViews>
    <sheetView showGridLines="0" workbookViewId="0">
      <selection activeCell="J16" sqref="J16"/>
    </sheetView>
  </sheetViews>
  <sheetFormatPr defaultRowHeight="14.5" x14ac:dyDescent="0.35"/>
  <cols>
    <col min="1" max="1" width="1.81640625" customWidth="1"/>
    <col min="2" max="2" width="10.08984375" bestFit="1" customWidth="1"/>
    <col min="3" max="3" width="14" customWidth="1"/>
    <col min="6" max="6" width="14.90625" customWidth="1"/>
    <col min="9" max="9" width="19.1796875" customWidth="1"/>
    <col min="10" max="10" width="9.54296875" customWidth="1"/>
    <col min="12" max="12" width="16.453125" bestFit="1" customWidth="1"/>
    <col min="13" max="13" width="12.453125" bestFit="1" customWidth="1"/>
    <col min="14" max="14" width="13" bestFit="1" customWidth="1"/>
    <col min="15" max="15" width="12.453125" bestFit="1" customWidth="1"/>
    <col min="16" max="16" width="11.81640625" bestFit="1" customWidth="1"/>
    <col min="17" max="17" width="12.7265625" bestFit="1" customWidth="1"/>
    <col min="18" max="18" width="11.81640625" bestFit="1" customWidth="1"/>
    <col min="19" max="19" width="12.453125" bestFit="1" customWidth="1"/>
    <col min="20" max="20" width="12" bestFit="1" customWidth="1"/>
  </cols>
  <sheetData>
    <row r="2" spans="2:17" x14ac:dyDescent="0.35">
      <c r="B2" s="17" t="str">
        <f>'Data - Hind. Unilever'!B2</f>
        <v xml:space="preserve">Regression Beta - 2 Years Weekly </v>
      </c>
    </row>
    <row r="4" spans="2:17" x14ac:dyDescent="0.35">
      <c r="B4" s="68" t="s">
        <v>91</v>
      </c>
      <c r="C4" s="68"/>
      <c r="D4" s="68"/>
      <c r="E4" s="40"/>
      <c r="F4" s="68" t="s">
        <v>56</v>
      </c>
      <c r="G4" s="68"/>
      <c r="I4" s="68" t="s">
        <v>82</v>
      </c>
      <c r="J4" s="68"/>
      <c r="L4" t="s">
        <v>57</v>
      </c>
    </row>
    <row r="5" spans="2:17" ht="15" thickBot="1" x14ac:dyDescent="0.4"/>
    <row r="6" spans="2:17" x14ac:dyDescent="0.35">
      <c r="B6" s="36" t="s">
        <v>52</v>
      </c>
      <c r="C6" s="37" t="s">
        <v>53</v>
      </c>
      <c r="D6" s="18" t="s">
        <v>55</v>
      </c>
      <c r="F6" s="37" t="s">
        <v>53</v>
      </c>
      <c r="G6" s="18" t="s">
        <v>55</v>
      </c>
      <c r="I6" t="s">
        <v>83</v>
      </c>
      <c r="J6" s="46">
        <f>M21</f>
        <v>0.87404025663793627</v>
      </c>
      <c r="L6" s="44" t="s">
        <v>58</v>
      </c>
      <c r="M6" s="44"/>
    </row>
    <row r="7" spans="2:17" x14ac:dyDescent="0.35">
      <c r="B7" s="58">
        <v>45495</v>
      </c>
      <c r="C7" s="41">
        <v>611.74072265625</v>
      </c>
      <c r="F7" s="41">
        <f>'Data - Hind. Unilever'!F7</f>
        <v>24834.849609375</v>
      </c>
      <c r="I7" t="s">
        <v>84</v>
      </c>
      <c r="J7" s="47">
        <v>0.75</v>
      </c>
      <c r="L7" t="s">
        <v>59</v>
      </c>
      <c r="M7">
        <v>0.49186414655691818</v>
      </c>
    </row>
    <row r="8" spans="2:17" x14ac:dyDescent="0.35">
      <c r="B8" s="58">
        <v>45502</v>
      </c>
      <c r="C8" s="41">
        <v>607.0010986328125</v>
      </c>
      <c r="D8" s="6">
        <f>IFERROR(C8/C7-1,0)</f>
        <v>-7.7477660843918716E-3</v>
      </c>
      <c r="F8" s="41">
        <f>'Data - Hind. Unilever'!F8</f>
        <v>24717.69921875</v>
      </c>
      <c r="G8" s="6">
        <f>IFERROR(F8/F7-1,0)</f>
        <v>-4.7171773724281607E-3</v>
      </c>
      <c r="I8" s="6"/>
      <c r="J8" s="48"/>
      <c r="L8" t="s">
        <v>60</v>
      </c>
      <c r="M8">
        <v>0.24193033866816546</v>
      </c>
    </row>
    <row r="9" spans="2:17" x14ac:dyDescent="0.35">
      <c r="B9" s="58">
        <v>45509</v>
      </c>
      <c r="C9" s="41">
        <v>603.51904296875</v>
      </c>
      <c r="D9" s="6">
        <f t="shared" ref="D9:D72" si="0">IFERROR(C9/C8-1,0)</f>
        <v>-5.7364898875889025E-3</v>
      </c>
      <c r="F9" s="41">
        <f>'Data - Hind. Unilever'!F9</f>
        <v>24367.5</v>
      </c>
      <c r="G9" s="6">
        <f t="shared" ref="G9:G72" si="1">IFERROR(F9/F8-1,0)</f>
        <v>-1.4167953726225035E-2</v>
      </c>
      <c r="I9" s="6"/>
      <c r="J9" s="47"/>
      <c r="L9" t="s">
        <v>61</v>
      </c>
      <c r="M9">
        <v>0.23449828316491217</v>
      </c>
    </row>
    <row r="10" spans="2:17" x14ac:dyDescent="0.35">
      <c r="B10" s="58">
        <v>45516</v>
      </c>
      <c r="C10" s="41">
        <v>597.376953125</v>
      </c>
      <c r="D10" s="6">
        <f t="shared" si="0"/>
        <v>-1.0177126828569749E-2</v>
      </c>
      <c r="F10" s="41">
        <f>'Data - Hind. Unilever'!F10</f>
        <v>24541.150390625</v>
      </c>
      <c r="G10" s="6">
        <f t="shared" si="1"/>
        <v>7.126311300913013E-3</v>
      </c>
      <c r="I10" s="6" t="s">
        <v>85</v>
      </c>
      <c r="J10" s="48">
        <v>1</v>
      </c>
      <c r="L10" t="s">
        <v>62</v>
      </c>
      <c r="M10">
        <v>2.8655459020220733E-2</v>
      </c>
    </row>
    <row r="11" spans="2:17" ht="15" thickBot="1" x14ac:dyDescent="0.4">
      <c r="B11" s="58">
        <v>45523</v>
      </c>
      <c r="C11" s="41">
        <v>622.18701171875</v>
      </c>
      <c r="D11" s="6">
        <f t="shared" si="0"/>
        <v>4.1531663489800863E-2</v>
      </c>
      <c r="F11" s="41">
        <f>'Data - Hind. Unilever'!F11</f>
        <v>24823.150390625</v>
      </c>
      <c r="G11" s="6">
        <f t="shared" si="1"/>
        <v>1.1490903870086111E-2</v>
      </c>
      <c r="I11" s="6" t="s">
        <v>86</v>
      </c>
      <c r="J11" s="47">
        <v>0.25</v>
      </c>
      <c r="L11" s="42" t="s">
        <v>63</v>
      </c>
      <c r="M11" s="42">
        <v>104</v>
      </c>
    </row>
    <row r="12" spans="2:17" x14ac:dyDescent="0.35">
      <c r="B12" s="58">
        <v>45530</v>
      </c>
      <c r="C12" s="41">
        <v>616.28680419921875</v>
      </c>
      <c r="D12" s="6">
        <f t="shared" si="0"/>
        <v>-9.4830129983464184E-3</v>
      </c>
      <c r="F12" s="41">
        <f>'Data - Hind. Unilever'!F12</f>
        <v>25235.900390625</v>
      </c>
      <c r="G12" s="6">
        <f t="shared" si="1"/>
        <v>1.6627623549180237E-2</v>
      </c>
      <c r="I12" s="6"/>
      <c r="J12" s="6"/>
    </row>
    <row r="13" spans="2:17" ht="15" thickBot="1" x14ac:dyDescent="0.4">
      <c r="B13" s="58">
        <v>45537</v>
      </c>
      <c r="C13" s="41">
        <v>623.2994384765625</v>
      </c>
      <c r="D13" s="6">
        <f t="shared" si="0"/>
        <v>1.1378848661956598E-2</v>
      </c>
      <c r="F13" s="41">
        <f>'Data - Hind. Unilever'!F13</f>
        <v>24852.150390625</v>
      </c>
      <c r="G13" s="6">
        <f t="shared" si="1"/>
        <v>-1.5206511123437516E-2</v>
      </c>
      <c r="I13" s="49" t="s">
        <v>87</v>
      </c>
      <c r="J13" s="50">
        <f>IFERROR((J6*J7)+(J10*J11),0)</f>
        <v>0.90553019247845223</v>
      </c>
      <c r="L13" t="s">
        <v>64</v>
      </c>
    </row>
    <row r="14" spans="2:17" x14ac:dyDescent="0.35">
      <c r="B14" s="58">
        <v>45544</v>
      </c>
      <c r="C14" s="41">
        <v>639.2591552734375</v>
      </c>
      <c r="D14" s="6">
        <f t="shared" si="0"/>
        <v>2.5605216067389636E-2</v>
      </c>
      <c r="F14" s="41">
        <f>'Data - Hind. Unilever'!F14</f>
        <v>25356.5</v>
      </c>
      <c r="G14" s="6">
        <f t="shared" si="1"/>
        <v>2.0294002790408605E-2</v>
      </c>
      <c r="L14" s="43"/>
      <c r="M14" s="43" t="s">
        <v>69</v>
      </c>
      <c r="N14" s="43" t="s">
        <v>70</v>
      </c>
      <c r="O14" s="43" t="s">
        <v>71</v>
      </c>
      <c r="P14" s="43" t="s">
        <v>72</v>
      </c>
      <c r="Q14" s="43" t="s">
        <v>73</v>
      </c>
    </row>
    <row r="15" spans="2:17" x14ac:dyDescent="0.35">
      <c r="B15" s="58">
        <v>45551</v>
      </c>
      <c r="C15" s="41">
        <v>645.69134521484375</v>
      </c>
      <c r="D15" s="6">
        <f t="shared" si="0"/>
        <v>1.0061944187025329E-2</v>
      </c>
      <c r="F15" s="41">
        <f>'Data - Hind. Unilever'!F15</f>
        <v>25790.94921875</v>
      </c>
      <c r="G15" s="6">
        <f t="shared" si="1"/>
        <v>1.7133643000808441E-2</v>
      </c>
      <c r="L15" t="s">
        <v>65</v>
      </c>
      <c r="M15">
        <v>1</v>
      </c>
      <c r="N15">
        <v>2.672982579231703E-2</v>
      </c>
      <c r="O15">
        <v>2.672982579231703E-2</v>
      </c>
      <c r="P15">
        <v>32.552278244190155</v>
      </c>
      <c r="Q15">
        <v>1.1419805807655883E-7</v>
      </c>
    </row>
    <row r="16" spans="2:17" x14ac:dyDescent="0.35">
      <c r="B16" s="58">
        <v>45558</v>
      </c>
      <c r="C16" s="41">
        <v>612.272705078125</v>
      </c>
      <c r="D16" s="6">
        <f t="shared" si="0"/>
        <v>-5.1756369950412218E-2</v>
      </c>
      <c r="F16" s="41">
        <f>'Data - Hind. Unilever'!F16</f>
        <v>26178.94921875</v>
      </c>
      <c r="G16" s="6">
        <f t="shared" si="1"/>
        <v>1.5044037220542705E-2</v>
      </c>
      <c r="L16" t="s">
        <v>66</v>
      </c>
      <c r="M16">
        <v>102</v>
      </c>
      <c r="N16">
        <v>8.375580382927407E-2</v>
      </c>
      <c r="O16">
        <v>8.2113533165954972E-4</v>
      </c>
    </row>
    <row r="17" spans="2:20" ht="15" thickBot="1" x14ac:dyDescent="0.4">
      <c r="B17" s="58">
        <v>45565</v>
      </c>
      <c r="C17" s="41">
        <v>553.70538330078125</v>
      </c>
      <c r="D17" s="6">
        <f t="shared" si="0"/>
        <v>-9.5655614388151844E-2</v>
      </c>
      <c r="F17" s="41">
        <f>'Data - Hind. Unilever'!F17</f>
        <v>25014.599609375</v>
      </c>
      <c r="G17" s="6">
        <f t="shared" si="1"/>
        <v>-4.4476560141728849E-2</v>
      </c>
      <c r="L17" s="42" t="s">
        <v>67</v>
      </c>
      <c r="M17" s="42">
        <v>103</v>
      </c>
      <c r="N17" s="42">
        <v>0.1104856296215911</v>
      </c>
      <c r="O17" s="42"/>
      <c r="P17" s="42"/>
      <c r="Q17" s="42"/>
    </row>
    <row r="18" spans="2:20" ht="15" thickBot="1" x14ac:dyDescent="0.4">
      <c r="B18" s="58">
        <v>45572</v>
      </c>
      <c r="C18" s="41">
        <v>552.15771484375</v>
      </c>
      <c r="D18" s="6">
        <f t="shared" si="0"/>
        <v>-2.7951118116373852E-3</v>
      </c>
      <c r="F18" s="41">
        <f>'Data - Hind. Unilever'!F18</f>
        <v>24964.25</v>
      </c>
      <c r="G18" s="6">
        <f t="shared" si="1"/>
        <v>-2.0128089260372795E-3</v>
      </c>
    </row>
    <row r="19" spans="2:20" x14ac:dyDescent="0.35">
      <c r="B19" s="58">
        <v>45579</v>
      </c>
      <c r="C19" s="41">
        <v>552.68975830078125</v>
      </c>
      <c r="D19" s="6">
        <f t="shared" si="0"/>
        <v>9.6357153532089512E-4</v>
      </c>
      <c r="F19" s="41">
        <f>'Data - Hind. Unilever'!F19</f>
        <v>24854.05078125</v>
      </c>
      <c r="G19" s="6">
        <f t="shared" si="1"/>
        <v>-4.4142811720760955E-3</v>
      </c>
      <c r="L19" s="43"/>
      <c r="M19" s="43" t="s">
        <v>74</v>
      </c>
      <c r="N19" s="43" t="s">
        <v>62</v>
      </c>
      <c r="O19" s="43" t="s">
        <v>75</v>
      </c>
      <c r="P19" s="43" t="s">
        <v>76</v>
      </c>
      <c r="Q19" s="43" t="s">
        <v>77</v>
      </c>
      <c r="R19" s="43" t="s">
        <v>78</v>
      </c>
      <c r="S19" s="43" t="s">
        <v>79</v>
      </c>
      <c r="T19" s="43" t="s">
        <v>80</v>
      </c>
    </row>
    <row r="20" spans="2:20" x14ac:dyDescent="0.35">
      <c r="B20" s="58">
        <v>45586</v>
      </c>
      <c r="C20" s="41">
        <v>521.06048583984375</v>
      </c>
      <c r="D20" s="6">
        <f t="shared" si="0"/>
        <v>-5.7227896818968005E-2</v>
      </c>
      <c r="F20" s="41">
        <f>'Data - Hind. Unilever'!F20</f>
        <v>24180.80078125</v>
      </c>
      <c r="G20" s="6">
        <f t="shared" si="1"/>
        <v>-2.7088139713140946E-2</v>
      </c>
      <c r="L20" t="s">
        <v>68</v>
      </c>
      <c r="M20">
        <v>-2.8181025259305099E-3</v>
      </c>
      <c r="N20">
        <v>2.8100880928270647E-3</v>
      </c>
      <c r="O20">
        <v>-1.0028520220145065</v>
      </c>
      <c r="P20">
        <v>0.31830543109341947</v>
      </c>
      <c r="Q20">
        <v>-8.3918989341970028E-3</v>
      </c>
      <c r="R20">
        <v>2.7556938823359825E-3</v>
      </c>
      <c r="S20">
        <v>-8.3918989341970028E-3</v>
      </c>
      <c r="T20">
        <v>2.7556938823359825E-3</v>
      </c>
    </row>
    <row r="21" spans="2:20" ht="15" thickBot="1" x14ac:dyDescent="0.4">
      <c r="B21" s="58">
        <v>45593</v>
      </c>
      <c r="C21" s="41">
        <v>524.784423828125</v>
      </c>
      <c r="D21" s="6">
        <f t="shared" si="0"/>
        <v>7.1468439643413983E-3</v>
      </c>
      <c r="F21" s="41">
        <f>'Data - Hind. Unilever'!F21</f>
        <v>24304.349609375</v>
      </c>
      <c r="G21" s="6">
        <f t="shared" si="1"/>
        <v>5.1093770319137199E-3</v>
      </c>
      <c r="L21" s="42" t="s">
        <v>81</v>
      </c>
      <c r="M21" s="42">
        <v>0.87404025663793627</v>
      </c>
      <c r="N21" s="42">
        <v>0.15319364207787334</v>
      </c>
      <c r="O21" s="42">
        <v>5.7054603884515851</v>
      </c>
      <c r="P21" s="42">
        <v>1.1419805807656028E-7</v>
      </c>
      <c r="Q21" s="42">
        <v>0.57018139393449552</v>
      </c>
      <c r="R21" s="42">
        <v>1.177899119341377</v>
      </c>
      <c r="S21" s="42">
        <v>0.57018139393449552</v>
      </c>
      <c r="T21" s="42">
        <v>1.177899119341377</v>
      </c>
    </row>
    <row r="22" spans="2:20" x14ac:dyDescent="0.35">
      <c r="B22" s="58">
        <v>45600</v>
      </c>
      <c r="C22" s="41">
        <v>516.75494384765625</v>
      </c>
      <c r="D22" s="6">
        <f t="shared" si="0"/>
        <v>-1.5300530305180193E-2</v>
      </c>
      <c r="F22" s="41">
        <f>'Data - Hind. Unilever'!F22</f>
        <v>24148.19921875</v>
      </c>
      <c r="G22" s="6">
        <f t="shared" si="1"/>
        <v>-6.424791987223899E-3</v>
      </c>
      <c r="M22">
        <f>SLOPE(D8:D111,G8:G111)</f>
        <v>0.87404025663793616</v>
      </c>
    </row>
    <row r="23" spans="2:20" x14ac:dyDescent="0.35">
      <c r="B23" s="58">
        <v>45607</v>
      </c>
      <c r="C23" s="41">
        <v>494.004150390625</v>
      </c>
      <c r="D23" s="6">
        <f t="shared" si="0"/>
        <v>-4.4026271500439473E-2</v>
      </c>
      <c r="F23" s="41">
        <f>'Data - Hind. Unilever'!F23</f>
        <v>23532.69921875</v>
      </c>
      <c r="G23" s="6">
        <f t="shared" si="1"/>
        <v>-2.5488443027341434E-2</v>
      </c>
    </row>
    <row r="24" spans="2:20" x14ac:dyDescent="0.35">
      <c r="B24" s="58">
        <v>45614</v>
      </c>
      <c r="C24" s="41">
        <v>498.76821899414063</v>
      </c>
      <c r="D24" s="6">
        <f t="shared" si="0"/>
        <v>9.643782546661761E-3</v>
      </c>
      <c r="F24" s="41">
        <f>'Data - Hind. Unilever'!F24</f>
        <v>23907.25</v>
      </c>
      <c r="G24" s="6">
        <f t="shared" si="1"/>
        <v>1.5916184444815906E-2</v>
      </c>
    </row>
    <row r="25" spans="2:20" x14ac:dyDescent="0.35">
      <c r="B25" s="58">
        <v>45621</v>
      </c>
      <c r="C25" s="41">
        <v>512.52569580078125</v>
      </c>
      <c r="D25" s="6">
        <f t="shared" si="0"/>
        <v>2.758290581221301E-2</v>
      </c>
      <c r="F25" s="41">
        <f>'Data - Hind. Unilever'!F25</f>
        <v>24131.099609375</v>
      </c>
      <c r="G25" s="6">
        <f t="shared" si="1"/>
        <v>9.3632521254012335E-3</v>
      </c>
    </row>
    <row r="26" spans="2:20" x14ac:dyDescent="0.35">
      <c r="B26" s="58">
        <v>45628</v>
      </c>
      <c r="C26" s="41">
        <v>509.2685546875</v>
      </c>
      <c r="D26" s="6">
        <f t="shared" si="0"/>
        <v>-6.3550786623336464E-3</v>
      </c>
      <c r="F26" s="41">
        <f>'Data - Hind. Unilever'!F26</f>
        <v>24677.80078125</v>
      </c>
      <c r="G26" s="6">
        <f t="shared" si="1"/>
        <v>2.2655460411037609E-2</v>
      </c>
    </row>
    <row r="27" spans="2:20" x14ac:dyDescent="0.35">
      <c r="B27" s="58">
        <v>45635</v>
      </c>
      <c r="C27" s="41">
        <v>498.57373046875</v>
      </c>
      <c r="D27" s="6">
        <f t="shared" si="0"/>
        <v>-2.1000362422362029E-2</v>
      </c>
      <c r="F27" s="41">
        <f>'Data - Hind. Unilever'!F27</f>
        <v>24768.30078125</v>
      </c>
      <c r="G27" s="6">
        <f t="shared" si="1"/>
        <v>3.667263578396307E-3</v>
      </c>
    </row>
    <row r="28" spans="2:20" x14ac:dyDescent="0.35">
      <c r="B28" s="58">
        <v>45642</v>
      </c>
      <c r="C28" s="41">
        <v>488.60809326171881</v>
      </c>
      <c r="D28" s="6">
        <f t="shared" si="0"/>
        <v>-1.9988291797206514E-2</v>
      </c>
      <c r="F28" s="41">
        <f>'Data - Hind. Unilever'!F28</f>
        <v>23587.5</v>
      </c>
      <c r="G28" s="6">
        <f t="shared" si="1"/>
        <v>-4.7673871198458895E-2</v>
      </c>
    </row>
    <row r="29" spans="2:20" x14ac:dyDescent="0.35">
      <c r="B29" s="58">
        <v>45649</v>
      </c>
      <c r="C29" s="41">
        <v>493.08050537109381</v>
      </c>
      <c r="D29" s="6">
        <f t="shared" si="0"/>
        <v>9.1533729609742931E-3</v>
      </c>
      <c r="F29" s="41">
        <f>'Data - Hind. Unilever'!F29</f>
        <v>23813.400390625</v>
      </c>
      <c r="G29" s="6">
        <f t="shared" si="1"/>
        <v>9.5771230789614137E-3</v>
      </c>
    </row>
    <row r="30" spans="2:20" x14ac:dyDescent="0.35">
      <c r="B30" s="58">
        <v>45656</v>
      </c>
      <c r="C30" s="41">
        <v>510.33804321289063</v>
      </c>
      <c r="D30" s="6">
        <f t="shared" si="0"/>
        <v>3.4999432453344914E-2</v>
      </c>
      <c r="F30" s="41">
        <f>'Data - Hind. Unilever'!F30</f>
        <v>24004.75</v>
      </c>
      <c r="G30" s="6">
        <f t="shared" si="1"/>
        <v>8.0353753028203911E-3</v>
      </c>
    </row>
    <row r="31" spans="2:20" x14ac:dyDescent="0.35">
      <c r="B31" s="58">
        <v>45663</v>
      </c>
      <c r="C31" s="41">
        <v>503.53228759765619</v>
      </c>
      <c r="D31" s="6">
        <f t="shared" si="0"/>
        <v>-1.3335779500951994E-2</v>
      </c>
      <c r="F31" s="41">
        <f>'Data - Hind. Unilever'!F31</f>
        <v>23431.5</v>
      </c>
      <c r="G31" s="6">
        <f t="shared" si="1"/>
        <v>-2.3880690280048689E-2</v>
      </c>
    </row>
    <row r="32" spans="2:20" x14ac:dyDescent="0.35">
      <c r="B32" s="58">
        <v>45670</v>
      </c>
      <c r="C32" s="41">
        <v>511.45611572265619</v>
      </c>
      <c r="D32" s="6">
        <f t="shared" si="0"/>
        <v>1.5736484670733741E-2</v>
      </c>
      <c r="F32" s="41">
        <f>'Data - Hind. Unilever'!F32</f>
        <v>23203.19921875</v>
      </c>
      <c r="G32" s="6">
        <f t="shared" si="1"/>
        <v>-9.7433276252053558E-3</v>
      </c>
    </row>
    <row r="33" spans="2:7" x14ac:dyDescent="0.35">
      <c r="B33" s="58">
        <v>45677</v>
      </c>
      <c r="C33" s="41">
        <v>507.17825317382813</v>
      </c>
      <c r="D33" s="6">
        <f t="shared" si="0"/>
        <v>-8.3640852407907973E-3</v>
      </c>
      <c r="F33" s="41">
        <f>'Data - Hind. Unilever'!F33</f>
        <v>23092.19921875</v>
      </c>
      <c r="G33" s="6">
        <f t="shared" si="1"/>
        <v>-4.7838230820473893E-3</v>
      </c>
    </row>
    <row r="34" spans="2:7" x14ac:dyDescent="0.35">
      <c r="B34" s="58">
        <v>45684</v>
      </c>
      <c r="C34" s="41">
        <v>524.14410400390625</v>
      </c>
      <c r="D34" s="6">
        <f t="shared" si="0"/>
        <v>3.345145562513574E-2</v>
      </c>
      <c r="F34" s="41">
        <f>'Data - Hind. Unilever'!F34</f>
        <v>23482.150390625</v>
      </c>
      <c r="G34" s="6">
        <f t="shared" si="1"/>
        <v>1.688670568710382E-2</v>
      </c>
    </row>
    <row r="35" spans="2:7" x14ac:dyDescent="0.35">
      <c r="B35" s="58">
        <v>45691</v>
      </c>
      <c r="C35" s="41">
        <v>512.47698974609375</v>
      </c>
      <c r="D35" s="6">
        <f t="shared" si="0"/>
        <v>-2.2259363729722592E-2</v>
      </c>
      <c r="F35" s="41">
        <f>'Data - Hind. Unilever'!F35</f>
        <v>23559.94921875</v>
      </c>
      <c r="G35" s="6">
        <f t="shared" si="1"/>
        <v>3.313104925691146E-3</v>
      </c>
    </row>
    <row r="36" spans="2:7" x14ac:dyDescent="0.35">
      <c r="B36" s="58">
        <v>45698</v>
      </c>
      <c r="C36" s="41">
        <v>505.476806640625</v>
      </c>
      <c r="D36" s="6">
        <f t="shared" si="0"/>
        <v>-1.3659507149651695E-2</v>
      </c>
      <c r="F36" s="41">
        <f>'Data - Hind. Unilever'!F36</f>
        <v>22929.25</v>
      </c>
      <c r="G36" s="6">
        <f t="shared" si="1"/>
        <v>-2.6769973606227571E-2</v>
      </c>
    </row>
    <row r="37" spans="2:7" x14ac:dyDescent="0.35">
      <c r="B37" s="58">
        <v>45705</v>
      </c>
      <c r="C37" s="41">
        <v>494.53887939453119</v>
      </c>
      <c r="D37" s="6">
        <f t="shared" si="0"/>
        <v>-2.163883110441156E-2</v>
      </c>
      <c r="F37" s="41">
        <f>'Data - Hind. Unilever'!F37</f>
        <v>22795.900390625</v>
      </c>
      <c r="G37" s="6">
        <f t="shared" si="1"/>
        <v>-5.8156986981693359E-3</v>
      </c>
    </row>
    <row r="38" spans="2:7" x14ac:dyDescent="0.35">
      <c r="B38" s="58">
        <v>45712</v>
      </c>
      <c r="C38" s="41">
        <v>479.61471557617188</v>
      </c>
      <c r="D38" s="6">
        <f t="shared" si="0"/>
        <v>-3.0177938358721401E-2</v>
      </c>
      <c r="F38" s="41">
        <f>'Data - Hind. Unilever'!F38</f>
        <v>22124.69921875</v>
      </c>
      <c r="G38" s="6">
        <f t="shared" si="1"/>
        <v>-2.9443942128780209E-2</v>
      </c>
    </row>
    <row r="39" spans="2:7" x14ac:dyDescent="0.35">
      <c r="B39" s="58">
        <v>45719</v>
      </c>
      <c r="C39" s="41">
        <v>482.04534912109381</v>
      </c>
      <c r="D39" s="6">
        <f t="shared" si="0"/>
        <v>5.0678877565337732E-3</v>
      </c>
      <c r="F39" s="41">
        <f>'Data - Hind. Unilever'!F39</f>
        <v>22552.5</v>
      </c>
      <c r="G39" s="6">
        <f t="shared" si="1"/>
        <v>1.9335891395416249E-2</v>
      </c>
    </row>
    <row r="40" spans="2:7" x14ac:dyDescent="0.35">
      <c r="B40" s="58">
        <v>45726</v>
      </c>
      <c r="C40" s="41">
        <v>487.05252075195313</v>
      </c>
      <c r="D40" s="6">
        <f t="shared" si="0"/>
        <v>1.0387345588934283E-2</v>
      </c>
      <c r="F40" s="41">
        <f>'Data - Hind. Unilever'!F40</f>
        <v>22397.19921875</v>
      </c>
      <c r="G40" s="6">
        <f t="shared" si="1"/>
        <v>-6.8861891697150623E-3</v>
      </c>
    </row>
    <row r="41" spans="2:7" x14ac:dyDescent="0.35">
      <c r="B41" s="58">
        <v>45733</v>
      </c>
      <c r="C41" s="41">
        <v>492.74017333984381</v>
      </c>
      <c r="D41" s="6">
        <f t="shared" si="0"/>
        <v>1.167769869891977E-2</v>
      </c>
      <c r="F41" s="41">
        <f>'Data - Hind. Unilever'!F41</f>
        <v>23350.400390625</v>
      </c>
      <c r="G41" s="6">
        <f t="shared" si="1"/>
        <v>4.2558945096895062E-2</v>
      </c>
    </row>
    <row r="42" spans="2:7" x14ac:dyDescent="0.35">
      <c r="B42" s="58">
        <v>45740</v>
      </c>
      <c r="C42" s="41">
        <v>492.44854736328119</v>
      </c>
      <c r="D42" s="6">
        <f t="shared" si="0"/>
        <v>-5.9184534231493391E-4</v>
      </c>
      <c r="F42" s="41">
        <f>'Data - Hind. Unilever'!F42</f>
        <v>23519.349609375</v>
      </c>
      <c r="G42" s="6">
        <f t="shared" si="1"/>
        <v>7.2353885125597817E-3</v>
      </c>
    </row>
    <row r="43" spans="2:7" x14ac:dyDescent="0.35">
      <c r="B43" s="58">
        <v>45747</v>
      </c>
      <c r="C43" s="41">
        <v>448.94000244140619</v>
      </c>
      <c r="D43" s="6">
        <f t="shared" si="0"/>
        <v>-8.8351453476374187E-2</v>
      </c>
      <c r="F43" s="41">
        <f>'Data - Hind. Unilever'!F43</f>
        <v>22904.44921875</v>
      </c>
      <c r="G43" s="6">
        <f t="shared" si="1"/>
        <v>-2.6144447054772924E-2</v>
      </c>
    </row>
    <row r="44" spans="2:7" x14ac:dyDescent="0.35">
      <c r="B44" s="58">
        <v>45754</v>
      </c>
      <c r="C44" s="41">
        <v>448.50247192382813</v>
      </c>
      <c r="D44" s="6">
        <f t="shared" si="0"/>
        <v>-9.7458572459285797E-4</v>
      </c>
      <c r="F44" s="41">
        <f>'Data - Hind. Unilever'!F44</f>
        <v>22828.55078125</v>
      </c>
      <c r="G44" s="6">
        <f t="shared" si="1"/>
        <v>-3.3136984336592512E-3</v>
      </c>
    </row>
    <row r="45" spans="2:7" x14ac:dyDescent="0.35">
      <c r="B45" s="58">
        <v>45761</v>
      </c>
      <c r="C45" s="41">
        <v>466.00308227539063</v>
      </c>
      <c r="D45" s="6">
        <f t="shared" si="0"/>
        <v>3.9020097874811199E-2</v>
      </c>
      <c r="F45" s="41">
        <f>'Data - Hind. Unilever'!F45</f>
        <v>23851.650390625</v>
      </c>
      <c r="G45" s="6">
        <f t="shared" si="1"/>
        <v>4.4816669230502093E-2</v>
      </c>
    </row>
    <row r="46" spans="2:7" x14ac:dyDescent="0.35">
      <c r="B46" s="58">
        <v>45768</v>
      </c>
      <c r="C46" s="41">
        <v>471.15609741210938</v>
      </c>
      <c r="D46" s="6">
        <f t="shared" si="0"/>
        <v>1.1057899255854098E-2</v>
      </c>
      <c r="F46" s="41">
        <f>'Data - Hind. Unilever'!F46</f>
        <v>24039.349609375</v>
      </c>
      <c r="G46" s="6">
        <f t="shared" si="1"/>
        <v>7.8694436517390276E-3</v>
      </c>
    </row>
    <row r="47" spans="2:7" x14ac:dyDescent="0.35">
      <c r="B47" s="58">
        <v>45775</v>
      </c>
      <c r="C47" s="41">
        <v>466.10037231445313</v>
      </c>
      <c r="D47" s="6">
        <f t="shared" si="0"/>
        <v>-1.0730467302504487E-2</v>
      </c>
      <c r="F47" s="41">
        <f>'Data - Hind. Unilever'!F47</f>
        <v>24346.69921875</v>
      </c>
      <c r="G47" s="6">
        <f t="shared" si="1"/>
        <v>1.2785271414129218E-2</v>
      </c>
    </row>
    <row r="48" spans="2:7" x14ac:dyDescent="0.35">
      <c r="B48" s="58">
        <v>45782</v>
      </c>
      <c r="C48" s="41">
        <v>449.91226196289063</v>
      </c>
      <c r="D48" s="6">
        <f t="shared" si="0"/>
        <v>-3.473095348793509E-2</v>
      </c>
      <c r="F48" s="41">
        <f>'Data - Hind. Unilever'!F48</f>
        <v>24008</v>
      </c>
      <c r="G48" s="6">
        <f t="shared" si="1"/>
        <v>-1.391150462355728E-2</v>
      </c>
    </row>
    <row r="49" spans="2:7" x14ac:dyDescent="0.35">
      <c r="B49" s="58">
        <v>45789</v>
      </c>
      <c r="C49" s="41">
        <v>463.42660522460938</v>
      </c>
      <c r="D49" s="6">
        <f t="shared" si="0"/>
        <v>3.0037730473843949E-2</v>
      </c>
      <c r="F49" s="41">
        <f>'Data - Hind. Unilever'!F49</f>
        <v>25019.80078125</v>
      </c>
      <c r="G49" s="6">
        <f t="shared" si="1"/>
        <v>4.2144317779490237E-2</v>
      </c>
    </row>
    <row r="50" spans="2:7" x14ac:dyDescent="0.35">
      <c r="B50" s="58">
        <v>45796</v>
      </c>
      <c r="C50" s="41">
        <v>468.57962036132813</v>
      </c>
      <c r="D50" s="6">
        <f t="shared" si="0"/>
        <v>1.1119377003012687E-2</v>
      </c>
      <c r="F50" s="41">
        <f>'Data - Hind. Unilever'!F50</f>
        <v>24853.150390625</v>
      </c>
      <c r="G50" s="6">
        <f t="shared" si="1"/>
        <v>-6.6607401106841824E-3</v>
      </c>
    </row>
    <row r="51" spans="2:7" x14ac:dyDescent="0.35">
      <c r="B51" s="58">
        <v>45803</v>
      </c>
      <c r="C51" s="41">
        <v>469.55184936523438</v>
      </c>
      <c r="D51" s="6">
        <f t="shared" si="0"/>
        <v>2.0748426983583368E-3</v>
      </c>
      <c r="F51" s="41">
        <f>'Data - Hind. Unilever'!F51</f>
        <v>24750.69921875</v>
      </c>
      <c r="G51" s="6">
        <f t="shared" si="1"/>
        <v>-4.1222609715364511E-3</v>
      </c>
    </row>
    <row r="52" spans="2:7" x14ac:dyDescent="0.35">
      <c r="B52" s="58">
        <v>45810</v>
      </c>
      <c r="C52" s="41">
        <v>467.89901733398438</v>
      </c>
      <c r="D52" s="6">
        <f t="shared" si="0"/>
        <v>-3.5200202778125078E-3</v>
      </c>
      <c r="F52" s="41">
        <f>'Data - Hind. Unilever'!F52</f>
        <v>25003.05078125</v>
      </c>
      <c r="G52" s="6">
        <f t="shared" si="1"/>
        <v>1.0195734684894431E-2</v>
      </c>
    </row>
    <row r="53" spans="2:7" x14ac:dyDescent="0.35">
      <c r="B53" s="58">
        <v>45817</v>
      </c>
      <c r="C53" s="41">
        <v>453.5582275390625</v>
      </c>
      <c r="D53" s="6">
        <f t="shared" si="0"/>
        <v>-3.0649326593232606E-2</v>
      </c>
      <c r="F53" s="41">
        <f>'Data - Hind. Unilever'!F53</f>
        <v>24718.599609375</v>
      </c>
      <c r="G53" s="6">
        <f t="shared" si="1"/>
        <v>-1.1376658567134212E-2</v>
      </c>
    </row>
    <row r="54" spans="2:7" x14ac:dyDescent="0.35">
      <c r="B54" s="58">
        <v>45824</v>
      </c>
      <c r="C54" s="41">
        <v>453.94711303710938</v>
      </c>
      <c r="D54" s="6">
        <f t="shared" si="0"/>
        <v>8.574103046414816E-4</v>
      </c>
      <c r="F54" s="41">
        <f>'Data - Hind. Unilever'!F54</f>
        <v>25112.400390625</v>
      </c>
      <c r="G54" s="6">
        <f t="shared" si="1"/>
        <v>1.5931354828881306E-2</v>
      </c>
    </row>
    <row r="55" spans="2:7" x14ac:dyDescent="0.35">
      <c r="B55" s="58">
        <v>45831</v>
      </c>
      <c r="C55" s="41">
        <v>472.8575439453125</v>
      </c>
      <c r="D55" s="6">
        <f t="shared" si="0"/>
        <v>4.1657784277300269E-2</v>
      </c>
      <c r="F55" s="41">
        <f>'Data - Hind. Unilever'!F55</f>
        <v>25637.80078125</v>
      </c>
      <c r="G55" s="6">
        <f t="shared" si="1"/>
        <v>2.092195020995069E-2</v>
      </c>
    </row>
    <row r="56" spans="2:7" x14ac:dyDescent="0.35">
      <c r="B56" s="58">
        <v>45838</v>
      </c>
      <c r="C56" s="41">
        <v>481.36477661132813</v>
      </c>
      <c r="D56" s="6">
        <f t="shared" si="0"/>
        <v>1.7991111223551792E-2</v>
      </c>
      <c r="F56" s="41">
        <f>'Data - Hind. Unilever'!F56</f>
        <v>25461</v>
      </c>
      <c r="G56" s="6">
        <f t="shared" si="1"/>
        <v>-6.896097787736255E-3</v>
      </c>
    </row>
    <row r="57" spans="2:7" x14ac:dyDescent="0.35">
      <c r="B57" s="58">
        <v>45845</v>
      </c>
      <c r="C57" s="41">
        <v>516.1229248046875</v>
      </c>
      <c r="D57" s="6">
        <f t="shared" si="0"/>
        <v>7.2207502256494305E-2</v>
      </c>
      <c r="F57" s="41">
        <f>'Data - Hind. Unilever'!F57</f>
        <v>25149.849609375</v>
      </c>
      <c r="G57" s="6">
        <f t="shared" si="1"/>
        <v>-1.2220666534111024E-2</v>
      </c>
    </row>
    <row r="58" spans="2:7" x14ac:dyDescent="0.35">
      <c r="B58" s="58">
        <v>45852</v>
      </c>
      <c r="C58" s="41">
        <v>513.1978759765625</v>
      </c>
      <c r="D58" s="6">
        <f t="shared" si="0"/>
        <v>-5.6673491673169263E-3</v>
      </c>
      <c r="F58" s="41">
        <f>'Data - Hind. Unilever'!F58</f>
        <v>24968.400390625</v>
      </c>
      <c r="G58" s="6">
        <f t="shared" si="1"/>
        <v>-7.2147238082235221E-3</v>
      </c>
    </row>
    <row r="59" spans="2:7" x14ac:dyDescent="0.35">
      <c r="B59" s="58">
        <v>45859</v>
      </c>
      <c r="C59" s="41">
        <v>502.15036010742188</v>
      </c>
      <c r="D59" s="6">
        <f t="shared" si="0"/>
        <v>-2.1526815262277399E-2</v>
      </c>
      <c r="F59" s="41">
        <f>'Data - Hind. Unilever'!F59</f>
        <v>24837</v>
      </c>
      <c r="G59" s="6">
        <f t="shared" si="1"/>
        <v>-5.2626675545597301E-3</v>
      </c>
    </row>
    <row r="60" spans="2:7" x14ac:dyDescent="0.35">
      <c r="B60" s="58">
        <v>45866</v>
      </c>
      <c r="C60" s="41">
        <v>524.73651123046875</v>
      </c>
      <c r="D60" s="6">
        <f t="shared" si="0"/>
        <v>4.4978860750423788E-2</v>
      </c>
      <c r="F60" s="41">
        <f>'Data - Hind. Unilever'!F60</f>
        <v>24565.349609375</v>
      </c>
      <c r="G60" s="6">
        <f t="shared" si="1"/>
        <v>-1.0937326997020547E-2</v>
      </c>
    </row>
    <row r="61" spans="2:7" x14ac:dyDescent="0.35">
      <c r="B61" s="58">
        <v>45873</v>
      </c>
      <c r="C61" s="41">
        <v>498.12408447265619</v>
      </c>
      <c r="D61" s="6">
        <f t="shared" si="0"/>
        <v>-5.0715790093219137E-2</v>
      </c>
      <c r="F61" s="41">
        <f>'Data - Hind. Unilever'!F61</f>
        <v>24363.30078125</v>
      </c>
      <c r="G61" s="6">
        <f t="shared" si="1"/>
        <v>-8.2249522737462E-3</v>
      </c>
    </row>
    <row r="62" spans="2:7" x14ac:dyDescent="0.35">
      <c r="B62" s="58">
        <v>45880</v>
      </c>
      <c r="C62" s="41">
        <v>491.88833618164063</v>
      </c>
      <c r="D62" s="6">
        <f t="shared" si="0"/>
        <v>-1.2518463743059316E-2</v>
      </c>
      <c r="F62" s="41">
        <f>'Data - Hind. Unilever'!F62</f>
        <v>24631.30078125</v>
      </c>
      <c r="G62" s="6">
        <f t="shared" si="1"/>
        <v>1.1000151515029977E-2</v>
      </c>
    </row>
    <row r="63" spans="2:7" x14ac:dyDescent="0.35">
      <c r="B63" s="58">
        <v>45887</v>
      </c>
      <c r="C63" s="41">
        <v>506.66757202148438</v>
      </c>
      <c r="D63" s="6">
        <f t="shared" si="0"/>
        <v>3.0045916426012065E-2</v>
      </c>
      <c r="F63" s="41">
        <f>'Data - Hind. Unilever'!F63</f>
        <v>24870.099609375</v>
      </c>
      <c r="G63" s="6">
        <f t="shared" si="1"/>
        <v>9.6949337043044093E-3</v>
      </c>
    </row>
    <row r="64" spans="2:7" x14ac:dyDescent="0.35">
      <c r="B64" s="58">
        <v>45894</v>
      </c>
      <c r="C64" s="41">
        <v>511.72491455078119</v>
      </c>
      <c r="D64" s="6">
        <f t="shared" si="0"/>
        <v>9.9815792613668908E-3</v>
      </c>
      <c r="F64" s="41">
        <f>'Data - Hind. Unilever'!F64</f>
        <v>24426.849609375</v>
      </c>
      <c r="G64" s="6">
        <f t="shared" si="1"/>
        <v>-1.7822606542070796E-2</v>
      </c>
    </row>
    <row r="65" spans="2:7" x14ac:dyDescent="0.35">
      <c r="B65" s="58">
        <v>45901</v>
      </c>
      <c r="C65" s="41">
        <v>536.86431884765625</v>
      </c>
      <c r="D65" s="6">
        <f t="shared" si="0"/>
        <v>4.9126793677700231E-2</v>
      </c>
      <c r="F65" s="41">
        <f>'Data - Hind. Unilever'!F65</f>
        <v>24741</v>
      </c>
      <c r="G65" s="6">
        <f t="shared" si="1"/>
        <v>1.2860863993874538E-2</v>
      </c>
    </row>
    <row r="66" spans="2:7" x14ac:dyDescent="0.35">
      <c r="B66" s="58">
        <v>45908</v>
      </c>
      <c r="C66" s="41">
        <v>529.15557861328125</v>
      </c>
      <c r="D66" s="6">
        <f t="shared" si="0"/>
        <v>-1.4358823940695653E-2</v>
      </c>
      <c r="F66" s="41">
        <f>'Data - Hind. Unilever'!F66</f>
        <v>25114</v>
      </c>
      <c r="G66" s="6">
        <f t="shared" si="1"/>
        <v>1.5076189321369338E-2</v>
      </c>
    </row>
    <row r="67" spans="2:7" x14ac:dyDescent="0.35">
      <c r="B67" s="58">
        <v>45915</v>
      </c>
      <c r="C67" s="41">
        <v>525.8167724609375</v>
      </c>
      <c r="D67" s="6">
        <f t="shared" si="0"/>
        <v>-6.3096871454960679E-3</v>
      </c>
      <c r="F67" s="41">
        <f>'Data - Hind. Unilever'!F67</f>
        <v>25327.05078125</v>
      </c>
      <c r="G67" s="6">
        <f t="shared" si="1"/>
        <v>8.483347186827972E-3</v>
      </c>
    </row>
    <row r="68" spans="2:7" x14ac:dyDescent="0.35">
      <c r="B68" s="58">
        <v>45922</v>
      </c>
      <c r="C68" s="41">
        <v>490.759033203125</v>
      </c>
      <c r="D68" s="6">
        <f t="shared" si="0"/>
        <v>-6.6672919339819892E-2</v>
      </c>
      <c r="F68" s="41">
        <f>'Data - Hind. Unilever'!F68</f>
        <v>24654.69921875</v>
      </c>
      <c r="G68" s="6">
        <f t="shared" si="1"/>
        <v>-2.6546776737138011E-2</v>
      </c>
    </row>
    <row r="69" spans="2:7" x14ac:dyDescent="0.35">
      <c r="B69" s="58">
        <v>45929</v>
      </c>
      <c r="C69" s="41">
        <v>487.22381591796881</v>
      </c>
      <c r="D69" s="6">
        <f t="shared" si="0"/>
        <v>-7.2035704815910373E-3</v>
      </c>
      <c r="F69" s="41">
        <f>'Data - Hind. Unilever'!F69</f>
        <v>24894.25</v>
      </c>
      <c r="G69" s="6">
        <f t="shared" si="1"/>
        <v>9.7162321521173656E-3</v>
      </c>
    </row>
    <row r="70" spans="2:7" x14ac:dyDescent="0.35">
      <c r="B70" s="58">
        <v>45936</v>
      </c>
      <c r="C70" s="41">
        <v>480.88983154296881</v>
      </c>
      <c r="D70" s="6">
        <f t="shared" si="0"/>
        <v>-1.3000153457331076E-2</v>
      </c>
      <c r="F70" s="41">
        <f>'Data - Hind. Unilever'!F70</f>
        <v>25285.349609375</v>
      </c>
      <c r="G70" s="6">
        <f t="shared" si="1"/>
        <v>1.5710439534229792E-2</v>
      </c>
    </row>
    <row r="71" spans="2:7" x14ac:dyDescent="0.35">
      <c r="B71" s="58">
        <v>45943</v>
      </c>
      <c r="C71" s="41">
        <v>499.20431518554688</v>
      </c>
      <c r="D71" s="6">
        <f t="shared" si="0"/>
        <v>3.8084572476433376E-2</v>
      </c>
      <c r="F71" s="41">
        <f>'Data - Hind. Unilever'!F71</f>
        <v>25709.849609375</v>
      </c>
      <c r="G71" s="6">
        <f t="shared" si="1"/>
        <v>1.6788377719033409E-2</v>
      </c>
    </row>
    <row r="72" spans="2:7" x14ac:dyDescent="0.35">
      <c r="B72" s="58">
        <v>45950</v>
      </c>
      <c r="C72" s="41">
        <v>499.30252075195313</v>
      </c>
      <c r="D72" s="6">
        <f t="shared" si="0"/>
        <v>1.9672419371974392E-4</v>
      </c>
      <c r="F72" s="41">
        <f>'Data - Hind. Unilever'!F72</f>
        <v>25795.150390625</v>
      </c>
      <c r="G72" s="6">
        <f t="shared" si="1"/>
        <v>3.3178249793766046E-3</v>
      </c>
    </row>
    <row r="73" spans="2:7" x14ac:dyDescent="0.35">
      <c r="B73" s="58">
        <v>45957</v>
      </c>
      <c r="C73" s="41">
        <v>478.77850341796881</v>
      </c>
      <c r="D73" s="6">
        <f t="shared" ref="D73:D111" si="2">IFERROR(C73/C72-1,0)</f>
        <v>-4.1105374960004215E-2</v>
      </c>
      <c r="F73" s="41">
        <f>'Data - Hind. Unilever'!F73</f>
        <v>25722.099609375</v>
      </c>
      <c r="G73" s="6">
        <f t="shared" ref="G73:G111" si="3">IFERROR(F73/F72-1,0)</f>
        <v>-2.8319579511562054E-3</v>
      </c>
    </row>
    <row r="74" spans="2:7" x14ac:dyDescent="0.35">
      <c r="B74" s="58">
        <v>45964</v>
      </c>
      <c r="C74" s="41">
        <v>512.00762939453125</v>
      </c>
      <c r="D74" s="6">
        <f t="shared" si="2"/>
        <v>6.940396391931114E-2</v>
      </c>
      <c r="F74" s="41">
        <f>'Data - Hind. Unilever'!F74</f>
        <v>25492.30078125</v>
      </c>
      <c r="G74" s="6">
        <f t="shared" si="3"/>
        <v>-8.9339063146013364E-3</v>
      </c>
    </row>
    <row r="75" spans="2:7" x14ac:dyDescent="0.35">
      <c r="B75" s="58">
        <v>45971</v>
      </c>
      <c r="C75" s="41">
        <v>518.27630615234375</v>
      </c>
      <c r="D75" s="6">
        <f t="shared" si="2"/>
        <v>1.2243326852815484E-2</v>
      </c>
      <c r="F75" s="41">
        <f>'Data - Hind. Unilever'!F75</f>
        <v>25910.05078125</v>
      </c>
      <c r="G75" s="6">
        <f t="shared" si="3"/>
        <v>1.6387300761305124E-2</v>
      </c>
    </row>
    <row r="76" spans="2:7" x14ac:dyDescent="0.35">
      <c r="B76" s="58">
        <v>45978</v>
      </c>
      <c r="C76" s="41">
        <v>509.04605102539063</v>
      </c>
      <c r="D76" s="6">
        <f t="shared" si="2"/>
        <v>-1.7809525570400941E-2</v>
      </c>
      <c r="F76" s="41">
        <f>'Data - Hind. Unilever'!F76</f>
        <v>26068.150390625</v>
      </c>
      <c r="G76" s="6">
        <f t="shared" si="3"/>
        <v>6.1018641263879125E-3</v>
      </c>
    </row>
    <row r="77" spans="2:7" x14ac:dyDescent="0.35">
      <c r="B77" s="58">
        <v>45985</v>
      </c>
      <c r="C77" s="41">
        <v>510.77365112304688</v>
      </c>
      <c r="D77" s="6">
        <f t="shared" si="2"/>
        <v>3.3937992332446765E-3</v>
      </c>
      <c r="F77" s="41">
        <f>'Data - Hind. Unilever'!F77</f>
        <v>26202.94921875</v>
      </c>
      <c r="G77" s="6">
        <f t="shared" si="3"/>
        <v>5.1710162057940767E-3</v>
      </c>
    </row>
    <row r="78" spans="2:7" x14ac:dyDescent="0.35">
      <c r="B78" s="58">
        <v>45992</v>
      </c>
      <c r="C78" s="41">
        <v>503.56710815429688</v>
      </c>
      <c r="D78" s="6">
        <f t="shared" si="2"/>
        <v>-1.4109073467092226E-2</v>
      </c>
      <c r="F78" s="41">
        <f>'Data - Hind. Unilever'!F78</f>
        <v>26186.44921875</v>
      </c>
      <c r="G78" s="6">
        <f t="shared" si="3"/>
        <v>-6.2970010979501723E-4</v>
      </c>
    </row>
    <row r="79" spans="2:7" x14ac:dyDescent="0.35">
      <c r="B79" s="58">
        <v>45999</v>
      </c>
      <c r="C79" s="41">
        <v>488.66049194335938</v>
      </c>
      <c r="D79" s="6">
        <f t="shared" si="2"/>
        <v>-2.9602045029458068E-2</v>
      </c>
      <c r="F79" s="41">
        <f>'Data - Hind. Unilever'!F79</f>
        <v>26046.94921875</v>
      </c>
      <c r="G79" s="6">
        <f t="shared" si="3"/>
        <v>-5.3271827285432671E-3</v>
      </c>
    </row>
    <row r="80" spans="2:7" x14ac:dyDescent="0.35">
      <c r="B80" s="58">
        <v>46006</v>
      </c>
      <c r="C80" s="41">
        <v>487.62396240234381</v>
      </c>
      <c r="D80" s="6">
        <f t="shared" si="2"/>
        <v>-2.1211650176452546E-3</v>
      </c>
      <c r="F80" s="41">
        <f>'Data - Hind. Unilever'!F80</f>
        <v>25966.400390625</v>
      </c>
      <c r="G80" s="6">
        <f t="shared" si="3"/>
        <v>-3.0924476969846904E-3</v>
      </c>
    </row>
    <row r="81" spans="2:7" x14ac:dyDescent="0.35">
      <c r="B81" s="58">
        <v>46013</v>
      </c>
      <c r="C81" s="41">
        <v>481.94760131835938</v>
      </c>
      <c r="D81" s="6">
        <f t="shared" si="2"/>
        <v>-1.1640857549368722E-2</v>
      </c>
      <c r="F81" s="41">
        <f>'Data - Hind. Unilever'!F81</f>
        <v>26042.30078125</v>
      </c>
      <c r="G81" s="6">
        <f t="shared" si="3"/>
        <v>2.9230231947130481E-3</v>
      </c>
    </row>
    <row r="82" spans="2:7" x14ac:dyDescent="0.35">
      <c r="B82" s="58">
        <v>46020</v>
      </c>
      <c r="C82" s="41">
        <v>515.906982421875</v>
      </c>
      <c r="D82" s="6">
        <f t="shared" si="2"/>
        <v>7.0462807596967547E-2</v>
      </c>
      <c r="F82" s="41">
        <f>'Data - Hind. Unilever'!F82</f>
        <v>26328.55078125</v>
      </c>
      <c r="G82" s="6">
        <f t="shared" si="3"/>
        <v>1.099173235131734E-2</v>
      </c>
    </row>
    <row r="83" spans="2:7" x14ac:dyDescent="0.35">
      <c r="B83" s="58">
        <v>46027</v>
      </c>
      <c r="C83" s="41">
        <v>515.7095947265625</v>
      </c>
      <c r="D83" s="6">
        <f t="shared" si="2"/>
        <v>-3.826032638400978E-4</v>
      </c>
      <c r="F83" s="41">
        <f>'Data - Hind. Unilever'!F83</f>
        <v>25683.30078125</v>
      </c>
      <c r="G83" s="6">
        <f t="shared" si="3"/>
        <v>-2.4507615529659854E-2</v>
      </c>
    </row>
    <row r="84" spans="2:7" x14ac:dyDescent="0.35">
      <c r="B84" s="58">
        <v>46034</v>
      </c>
      <c r="C84" s="41">
        <v>507.96011352539063</v>
      </c>
      <c r="D84" s="6">
        <f t="shared" si="2"/>
        <v>-1.5026831535451257E-2</v>
      </c>
      <c r="F84" s="41">
        <f>'Data - Hind. Unilever'!F84</f>
        <v>25694.349609375</v>
      </c>
      <c r="G84" s="6">
        <f t="shared" si="3"/>
        <v>4.3019502123597952E-4</v>
      </c>
    </row>
    <row r="85" spans="2:7" x14ac:dyDescent="0.35">
      <c r="B85" s="58">
        <v>46041</v>
      </c>
      <c r="C85" s="41">
        <v>512.3531494140625</v>
      </c>
      <c r="D85" s="6">
        <f t="shared" si="2"/>
        <v>8.6483874849601072E-3</v>
      </c>
      <c r="F85" s="41">
        <f>'Data - Hind. Unilever'!F85</f>
        <v>25048.650390625</v>
      </c>
      <c r="G85" s="6">
        <f t="shared" si="3"/>
        <v>-2.5130008292344796E-2</v>
      </c>
    </row>
    <row r="86" spans="2:7" x14ac:dyDescent="0.35">
      <c r="B86" s="58">
        <v>46048</v>
      </c>
      <c r="C86" s="41">
        <v>495.66958618164063</v>
      </c>
      <c r="D86" s="6">
        <f t="shared" si="2"/>
        <v>-3.256262453251535E-2</v>
      </c>
      <c r="F86" s="41">
        <f>'Data - Hind. Unilever'!F86</f>
        <v>24825.44921875</v>
      </c>
      <c r="G86" s="6">
        <f t="shared" si="3"/>
        <v>-8.9107065009194075E-3</v>
      </c>
    </row>
    <row r="87" spans="2:7" x14ac:dyDescent="0.35">
      <c r="B87" s="58">
        <v>46055</v>
      </c>
      <c r="C87" s="41">
        <v>501.7901611328125</v>
      </c>
      <c r="D87" s="6">
        <f t="shared" si="2"/>
        <v>1.2348094621502437E-2</v>
      </c>
      <c r="F87" s="41">
        <f>'Data - Hind. Unilever'!F87</f>
        <v>25693.69921875</v>
      </c>
      <c r="G87" s="6">
        <f t="shared" si="3"/>
        <v>3.4974190893763746E-2</v>
      </c>
    </row>
    <row r="88" spans="2:7" x14ac:dyDescent="0.35">
      <c r="B88" s="58">
        <v>46062</v>
      </c>
      <c r="C88" s="41">
        <v>505.88702392578119</v>
      </c>
      <c r="D88" s="6">
        <f t="shared" si="2"/>
        <v>8.164494066045247E-3</v>
      </c>
      <c r="F88" s="41">
        <f>'Data - Hind. Unilever'!F88</f>
        <v>25471.099609375</v>
      </c>
      <c r="G88" s="6">
        <f t="shared" si="3"/>
        <v>-8.6635874219527231E-3</v>
      </c>
    </row>
    <row r="89" spans="2:7" x14ac:dyDescent="0.35">
      <c r="B89" s="58">
        <v>46069</v>
      </c>
      <c r="C89" s="41">
        <v>503.1722412109375</v>
      </c>
      <c r="D89" s="6">
        <f t="shared" si="2"/>
        <v>-5.366381398313913E-3</v>
      </c>
      <c r="F89" s="41">
        <f>'Data - Hind. Unilever'!F89</f>
        <v>25571.25</v>
      </c>
      <c r="G89" s="6">
        <f t="shared" si="3"/>
        <v>3.9319225381277967E-3</v>
      </c>
    </row>
    <row r="90" spans="2:7" x14ac:dyDescent="0.35">
      <c r="B90" s="58">
        <v>46076</v>
      </c>
      <c r="C90" s="41">
        <v>511.85952758789063</v>
      </c>
      <c r="D90" s="6">
        <f t="shared" si="2"/>
        <v>1.7265035042565602E-2</v>
      </c>
      <c r="F90" s="41">
        <f>'Data - Hind. Unilever'!F90</f>
        <v>25178.650390625</v>
      </c>
      <c r="G90" s="6">
        <f t="shared" si="3"/>
        <v>-1.5353164564696709E-2</v>
      </c>
    </row>
    <row r="91" spans="2:7" x14ac:dyDescent="0.35">
      <c r="B91" s="58">
        <v>46083</v>
      </c>
      <c r="C91" s="41">
        <v>472.47055053710938</v>
      </c>
      <c r="D91" s="6">
        <f t="shared" si="2"/>
        <v>-7.6952708561271899E-2</v>
      </c>
      <c r="F91" s="41">
        <f>'Data - Hind. Unilever'!F91</f>
        <v>24450.44921875</v>
      </c>
      <c r="G91" s="6">
        <f t="shared" si="3"/>
        <v>-2.8921374282480872E-2</v>
      </c>
    </row>
    <row r="92" spans="2:7" x14ac:dyDescent="0.35">
      <c r="B92" s="58">
        <v>46090</v>
      </c>
      <c r="C92" s="41">
        <v>447.69198608398438</v>
      </c>
      <c r="D92" s="6">
        <f t="shared" si="2"/>
        <v>-5.244467496430516E-2</v>
      </c>
      <c r="F92" s="41">
        <f>'Data - Hind. Unilever'!F92</f>
        <v>23151.099609375</v>
      </c>
      <c r="G92" s="6">
        <f t="shared" si="3"/>
        <v>-5.3142156929312567E-2</v>
      </c>
    </row>
    <row r="93" spans="2:7" x14ac:dyDescent="0.35">
      <c r="B93" s="58">
        <v>46097</v>
      </c>
      <c r="C93" s="41">
        <v>425.18402099609381</v>
      </c>
      <c r="D93" s="6">
        <f t="shared" si="2"/>
        <v>-5.0275559508604184E-2</v>
      </c>
      <c r="F93" s="41">
        <f>'Data - Hind. Unilever'!F93</f>
        <v>23114.5</v>
      </c>
      <c r="G93" s="6">
        <f t="shared" si="3"/>
        <v>-1.5809015551113692E-3</v>
      </c>
    </row>
    <row r="94" spans="2:7" x14ac:dyDescent="0.35">
      <c r="B94" s="58">
        <v>46104</v>
      </c>
      <c r="C94" s="41">
        <v>414.22616577148438</v>
      </c>
      <c r="D94" s="6">
        <f t="shared" si="2"/>
        <v>-2.5772029717716305E-2</v>
      </c>
      <c r="F94" s="41">
        <f>'Data - Hind. Unilever'!F94</f>
        <v>22819.599609375</v>
      </c>
      <c r="G94" s="6">
        <f t="shared" si="3"/>
        <v>-1.2758242255943242E-2</v>
      </c>
    </row>
    <row r="95" spans="2:7" x14ac:dyDescent="0.35">
      <c r="B95" s="58">
        <v>46111</v>
      </c>
      <c r="C95" s="41">
        <v>411.90625</v>
      </c>
      <c r="D95" s="6">
        <f t="shared" si="2"/>
        <v>-5.600601707918651E-3</v>
      </c>
      <c r="F95" s="41">
        <f>'Data - Hind. Unilever'!F95</f>
        <v>22713.099609375</v>
      </c>
      <c r="G95" s="6">
        <f t="shared" si="3"/>
        <v>-4.6670406940990672E-3</v>
      </c>
    </row>
    <row r="96" spans="2:7" x14ac:dyDescent="0.35">
      <c r="B96" s="58">
        <v>46118</v>
      </c>
      <c r="C96" s="41">
        <v>430.11996459960938</v>
      </c>
      <c r="D96" s="6">
        <f t="shared" si="2"/>
        <v>4.4218106910515198E-2</v>
      </c>
      <c r="F96" s="41">
        <f>'Data - Hind. Unilever'!F96</f>
        <v>24050.599609375</v>
      </c>
      <c r="G96" s="6">
        <f t="shared" si="3"/>
        <v>5.888672277243634E-2</v>
      </c>
    </row>
    <row r="97" spans="2:7" x14ac:dyDescent="0.35">
      <c r="B97" s="58">
        <v>46125</v>
      </c>
      <c r="C97" s="41">
        <v>437.17840576171881</v>
      </c>
      <c r="D97" s="6">
        <f t="shared" si="2"/>
        <v>1.6410401150944054E-2</v>
      </c>
      <c r="F97" s="41">
        <f>'Data - Hind. Unilever'!F97</f>
        <v>24353.55078125</v>
      </c>
      <c r="G97" s="6">
        <f t="shared" si="3"/>
        <v>1.2596408272370407E-2</v>
      </c>
    </row>
    <row r="98" spans="2:7" x14ac:dyDescent="0.35">
      <c r="B98" s="58">
        <v>46132</v>
      </c>
      <c r="C98" s="41">
        <v>445.32272338867188</v>
      </c>
      <c r="D98" s="6">
        <f t="shared" si="2"/>
        <v>1.8629277017383261E-2</v>
      </c>
      <c r="F98" s="41">
        <f>'Data - Hind. Unilever'!F98</f>
        <v>23897.94921875</v>
      </c>
      <c r="G98" s="6">
        <f t="shared" si="3"/>
        <v>-1.8707808425651451E-2</v>
      </c>
    </row>
    <row r="99" spans="2:7" x14ac:dyDescent="0.35">
      <c r="B99" s="58">
        <v>46139</v>
      </c>
      <c r="C99" s="41">
        <v>435.84567260742188</v>
      </c>
      <c r="D99" s="6">
        <f t="shared" si="2"/>
        <v>-2.12813096738802E-2</v>
      </c>
      <c r="F99" s="41">
        <f>'Data - Hind. Unilever'!F99</f>
        <v>23997.55078125</v>
      </c>
      <c r="G99" s="6">
        <f t="shared" si="3"/>
        <v>4.1677870175509391E-3</v>
      </c>
    </row>
    <row r="100" spans="2:7" x14ac:dyDescent="0.35">
      <c r="B100" s="58">
        <v>46146</v>
      </c>
      <c r="C100" s="41">
        <v>481.45401000976563</v>
      </c>
      <c r="D100" s="6">
        <f t="shared" si="2"/>
        <v>0.1046433181944757</v>
      </c>
      <c r="F100" s="41">
        <f>'Data - Hind. Unilever'!F100</f>
        <v>24176.150390625</v>
      </c>
      <c r="G100" s="6">
        <f t="shared" si="3"/>
        <v>7.442409894369062E-3</v>
      </c>
    </row>
    <row r="101" spans="2:7" x14ac:dyDescent="0.35">
      <c r="B101" s="58">
        <v>46153</v>
      </c>
      <c r="C101" s="41">
        <v>461.71014404296881</v>
      </c>
      <c r="D101" s="6">
        <f t="shared" si="2"/>
        <v>-4.1008830659435835E-2</v>
      </c>
      <c r="F101" s="41">
        <f>'Data - Hind. Unilever'!F101</f>
        <v>23643.5</v>
      </c>
      <c r="G101" s="6">
        <f t="shared" si="3"/>
        <v>-2.2032059778696267E-2</v>
      </c>
    </row>
    <row r="102" spans="2:7" x14ac:dyDescent="0.35">
      <c r="B102" s="58">
        <v>46160</v>
      </c>
      <c r="C102" s="41">
        <v>445.27334594726563</v>
      </c>
      <c r="D102" s="6">
        <f t="shared" si="2"/>
        <v>-3.5599820163737861E-2</v>
      </c>
      <c r="F102" s="41">
        <f>'Data - Hind. Unilever'!F102</f>
        <v>23719.30078125</v>
      </c>
      <c r="G102" s="6">
        <f t="shared" si="3"/>
        <v>3.2059881679953328E-3</v>
      </c>
    </row>
    <row r="103" spans="2:7" x14ac:dyDescent="0.35">
      <c r="B103" s="58">
        <v>46167</v>
      </c>
      <c r="C103" s="41">
        <v>437.72134399414063</v>
      </c>
      <c r="D103" s="6">
        <f t="shared" si="2"/>
        <v>-1.6960372817867664E-2</v>
      </c>
      <c r="F103" s="41">
        <f>'Data - Hind. Unilever'!F103</f>
        <v>23547.75</v>
      </c>
      <c r="G103" s="6">
        <f t="shared" si="3"/>
        <v>-7.2325395605932208E-3</v>
      </c>
    </row>
    <row r="104" spans="2:7" x14ac:dyDescent="0.35">
      <c r="B104" s="58">
        <v>46174</v>
      </c>
      <c r="C104" s="41">
        <v>418.71786499023438</v>
      </c>
      <c r="D104" s="6">
        <f t="shared" si="2"/>
        <v>-4.3414558747586707E-2</v>
      </c>
      <c r="F104" s="41">
        <f>'Data - Hind. Unilever'!F104</f>
        <v>23366.69921875</v>
      </c>
      <c r="G104" s="6">
        <f t="shared" si="3"/>
        <v>-7.6886658491788218E-3</v>
      </c>
    </row>
    <row r="105" spans="2:7" x14ac:dyDescent="0.35">
      <c r="B105" s="58">
        <v>46181</v>
      </c>
      <c r="C105" s="41">
        <v>420.93905639648438</v>
      </c>
      <c r="D105" s="6">
        <f t="shared" si="2"/>
        <v>5.3047447743883591E-3</v>
      </c>
      <c r="F105" s="41">
        <f>'Data - Hind. Unilever'!F105</f>
        <v>23622.900390625</v>
      </c>
      <c r="G105" s="6">
        <f t="shared" si="3"/>
        <v>1.0964371539024187E-2</v>
      </c>
    </row>
    <row r="106" spans="2:7" x14ac:dyDescent="0.35">
      <c r="B106" s="58">
        <v>46188</v>
      </c>
      <c r="C106" s="41">
        <v>418.07620239257813</v>
      </c>
      <c r="D106" s="6">
        <f t="shared" si="2"/>
        <v>-6.8011127986415953E-3</v>
      </c>
      <c r="F106" s="41">
        <f>'Data - Hind. Unilever'!F106</f>
        <v>24013.099609375</v>
      </c>
      <c r="G106" s="6">
        <f t="shared" si="3"/>
        <v>1.6517837026686744E-2</v>
      </c>
    </row>
    <row r="107" spans="2:7" x14ac:dyDescent="0.35">
      <c r="B107" s="58">
        <v>46195</v>
      </c>
      <c r="C107" s="41">
        <v>418.4710693359375</v>
      </c>
      <c r="D107" s="6">
        <f t="shared" si="2"/>
        <v>9.4448557726956039E-4</v>
      </c>
      <c r="F107" s="41">
        <f>'Data - Hind. Unilever'!F107</f>
        <v>24056</v>
      </c>
      <c r="G107" s="6">
        <f t="shared" si="3"/>
        <v>1.78654115140775E-3</v>
      </c>
    </row>
    <row r="108" spans="2:7" x14ac:dyDescent="0.35">
      <c r="B108" s="58">
        <v>46202</v>
      </c>
      <c r="C108" s="41">
        <v>438.6591796875</v>
      </c>
      <c r="D108" s="6">
        <f t="shared" si="2"/>
        <v>4.8242547289107929E-2</v>
      </c>
      <c r="F108" s="41">
        <f>'Data - Hind. Unilever'!F108</f>
        <v>24270.849609375</v>
      </c>
      <c r="G108" s="6">
        <f t="shared" si="3"/>
        <v>8.9312275263966345E-3</v>
      </c>
    </row>
    <row r="109" spans="2:7" x14ac:dyDescent="0.35">
      <c r="B109" s="58">
        <v>46209</v>
      </c>
      <c r="C109" s="41">
        <v>437.820068359375</v>
      </c>
      <c r="D109" s="6">
        <f t="shared" si="2"/>
        <v>-1.9129004178660702E-3</v>
      </c>
      <c r="F109" s="41">
        <f>'Data - Hind. Unilever'!F109</f>
        <v>24206.900390625</v>
      </c>
      <c r="G109" s="6">
        <f t="shared" si="3"/>
        <v>-2.6348158296567448E-3</v>
      </c>
    </row>
    <row r="110" spans="2:7" x14ac:dyDescent="0.35">
      <c r="B110" s="58">
        <v>46216</v>
      </c>
      <c r="C110" s="41">
        <v>427.20001220703119</v>
      </c>
      <c r="D110" s="6">
        <f t="shared" si="2"/>
        <v>-2.4256668252188418E-2</v>
      </c>
      <c r="F110" s="41">
        <f>'Data - Hind. Unilever'!F110</f>
        <v>24334.30078125</v>
      </c>
      <c r="G110" s="6">
        <f t="shared" si="3"/>
        <v>5.2629782652529045E-3</v>
      </c>
    </row>
    <row r="111" spans="2:7" x14ac:dyDescent="0.35">
      <c r="B111" s="58">
        <v>46223</v>
      </c>
      <c r="C111" s="41">
        <v>423.20001220703119</v>
      </c>
      <c r="D111" s="6">
        <f t="shared" si="2"/>
        <v>-9.3632956125981881E-3</v>
      </c>
      <c r="F111" s="41">
        <f>'Data - Hind. Unilever'!F111</f>
        <v>23869.599609375</v>
      </c>
      <c r="G111" s="6">
        <f t="shared" si="3"/>
        <v>-1.909654919006587E-2</v>
      </c>
    </row>
    <row r="112" spans="2:7" x14ac:dyDescent="0.35">
      <c r="G112" s="6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B129-32F3-45A9-AD70-681C9917A836}">
  <sheetPr>
    <tabColor rgb="FF002060"/>
  </sheetPr>
  <dimension ref="B4:G9"/>
  <sheetViews>
    <sheetView showGridLines="0" workbookViewId="0">
      <selection activeCell="H16" sqref="H16"/>
    </sheetView>
  </sheetViews>
  <sheetFormatPr defaultRowHeight="14.5" x14ac:dyDescent="0.35"/>
  <cols>
    <col min="1" max="1" width="1.81640625" customWidth="1"/>
    <col min="3" max="3" width="15" bestFit="1" customWidth="1"/>
    <col min="5" max="5" width="13.36328125" bestFit="1" customWidth="1"/>
    <col min="6" max="6" width="10.08984375" bestFit="1" customWidth="1"/>
  </cols>
  <sheetData>
    <row r="4" spans="2:7" x14ac:dyDescent="0.35">
      <c r="B4" s="59" t="s">
        <v>93</v>
      </c>
      <c r="C4" s="59" t="s">
        <v>94</v>
      </c>
      <c r="D4" s="59" t="s">
        <v>95</v>
      </c>
      <c r="E4" s="59" t="s">
        <v>96</v>
      </c>
      <c r="F4" s="59" t="s">
        <v>97</v>
      </c>
      <c r="G4" s="59" t="s">
        <v>98</v>
      </c>
    </row>
    <row r="5" spans="2:7" x14ac:dyDescent="0.35">
      <c r="B5" s="60">
        <v>1</v>
      </c>
      <c r="C5" s="61" t="s">
        <v>16</v>
      </c>
      <c r="D5" s="33">
        <v>2177</v>
      </c>
      <c r="E5" s="33">
        <v>511505.98</v>
      </c>
      <c r="F5" s="33">
        <v>1478</v>
      </c>
      <c r="G5" s="61">
        <v>0.03</v>
      </c>
    </row>
    <row r="6" spans="2:7" x14ac:dyDescent="0.35">
      <c r="B6" s="60">
        <v>2</v>
      </c>
      <c r="C6" s="61" t="s">
        <v>18</v>
      </c>
      <c r="D6" s="33">
        <v>1436</v>
      </c>
      <c r="E6" s="33">
        <v>276905.89</v>
      </c>
      <c r="F6" s="33">
        <v>444.16</v>
      </c>
      <c r="G6" s="61">
        <v>0.08</v>
      </c>
    </row>
    <row r="7" spans="2:7" x14ac:dyDescent="0.35">
      <c r="B7" s="60">
        <v>3</v>
      </c>
      <c r="C7" s="61" t="s">
        <v>19</v>
      </c>
      <c r="D7" s="33">
        <v>5359.9</v>
      </c>
      <c r="E7" s="33">
        <v>129103.03</v>
      </c>
      <c r="F7" s="33">
        <v>1380.28</v>
      </c>
      <c r="G7" s="61">
        <v>0.27</v>
      </c>
    </row>
    <row r="8" spans="2:7" x14ac:dyDescent="0.35">
      <c r="B8" s="60">
        <v>4</v>
      </c>
      <c r="C8" s="61" t="s">
        <v>20</v>
      </c>
      <c r="D8" s="33">
        <v>1071</v>
      </c>
      <c r="E8" s="33">
        <v>109595.96</v>
      </c>
      <c r="F8" s="33">
        <v>4420.5200000000004</v>
      </c>
      <c r="G8" s="61">
        <v>0.35</v>
      </c>
    </row>
    <row r="9" spans="2:7" x14ac:dyDescent="0.35">
      <c r="B9" s="60">
        <v>5</v>
      </c>
      <c r="C9" s="61" t="s">
        <v>21</v>
      </c>
      <c r="D9" s="33">
        <v>426.75</v>
      </c>
      <c r="E9" s="33">
        <v>75703.42</v>
      </c>
      <c r="F9" s="33">
        <v>1287.32</v>
      </c>
      <c r="G9" s="61">
        <v>0.11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35F9-635F-44B8-843C-D8098BA3B984}">
  <sheetPr>
    <tabColor rgb="FF002060"/>
  </sheetPr>
  <dimension ref="B2:H29"/>
  <sheetViews>
    <sheetView showGridLines="0" workbookViewId="0">
      <selection activeCell="F24" sqref="F24"/>
    </sheetView>
  </sheetViews>
  <sheetFormatPr defaultRowHeight="14.5" x14ac:dyDescent="0.35"/>
  <cols>
    <col min="1" max="1" width="1.81640625" customWidth="1"/>
    <col min="2" max="2" width="7.81640625" customWidth="1"/>
    <col min="3" max="3" width="13.26953125" customWidth="1"/>
    <col min="4" max="4" width="10.90625" customWidth="1"/>
    <col min="5" max="5" width="16.90625" customWidth="1"/>
    <col min="6" max="6" width="11" customWidth="1"/>
    <col min="8" max="8" width="9.90625" bestFit="1" customWidth="1"/>
  </cols>
  <sheetData>
    <row r="2" spans="2:8" x14ac:dyDescent="0.35">
      <c r="B2" s="60" t="s">
        <v>99</v>
      </c>
      <c r="C2" s="61" t="s">
        <v>100</v>
      </c>
      <c r="F2" s="4"/>
    </row>
    <row r="3" spans="2:8" x14ac:dyDescent="0.35">
      <c r="B3" s="60">
        <v>2000</v>
      </c>
      <c r="C3" s="6">
        <v>-0.14649999999999999</v>
      </c>
      <c r="F3" s="4"/>
    </row>
    <row r="4" spans="2:8" x14ac:dyDescent="0.35">
      <c r="B4" s="60">
        <v>2001</v>
      </c>
      <c r="C4" s="6">
        <v>-0.1618</v>
      </c>
      <c r="E4" s="61" t="s">
        <v>101</v>
      </c>
      <c r="F4" s="63">
        <f>AVERAGE(C3:C28)</f>
        <v>0.1514923076923077</v>
      </c>
    </row>
    <row r="5" spans="2:8" ht="16.5" x14ac:dyDescent="0.35">
      <c r="B5" s="60">
        <v>2002</v>
      </c>
      <c r="C5" s="6">
        <v>3.2500000000000001E-2</v>
      </c>
      <c r="E5" s="61" t="s">
        <v>102</v>
      </c>
      <c r="F5" s="64">
        <v>1.2999999999999999E-2</v>
      </c>
      <c r="H5" s="62"/>
    </row>
    <row r="6" spans="2:8" x14ac:dyDescent="0.35">
      <c r="B6" s="60">
        <v>2003</v>
      </c>
      <c r="C6" s="6">
        <v>0.71900000000000008</v>
      </c>
      <c r="E6" s="66" t="s">
        <v>103</v>
      </c>
      <c r="F6" s="67">
        <f>SUM(F4,F5)</f>
        <v>0.16449230769230772</v>
      </c>
      <c r="H6" s="65"/>
    </row>
    <row r="7" spans="2:8" x14ac:dyDescent="0.35">
      <c r="B7" s="60">
        <v>2004</v>
      </c>
      <c r="C7" s="6">
        <v>0.10679999999999999</v>
      </c>
    </row>
    <row r="8" spans="2:8" x14ac:dyDescent="0.35">
      <c r="B8" s="60">
        <v>2005</v>
      </c>
      <c r="C8" s="6">
        <v>0.36340000000000006</v>
      </c>
    </row>
    <row r="9" spans="2:8" x14ac:dyDescent="0.35">
      <c r="B9" s="60">
        <v>2006</v>
      </c>
      <c r="C9" s="6">
        <v>0.39829999999999999</v>
      </c>
    </row>
    <row r="10" spans="2:8" x14ac:dyDescent="0.35">
      <c r="B10" s="60">
        <v>2007</v>
      </c>
      <c r="C10" s="6">
        <v>0.54770000000000008</v>
      </c>
    </row>
    <row r="11" spans="2:8" x14ac:dyDescent="0.35">
      <c r="B11" s="60">
        <v>2008</v>
      </c>
      <c r="C11" s="6">
        <v>-0.51790000000000003</v>
      </c>
    </row>
    <row r="12" spans="2:8" x14ac:dyDescent="0.35">
      <c r="B12" s="60">
        <v>2009</v>
      </c>
      <c r="C12" s="6">
        <v>0.75760000000000005</v>
      </c>
    </row>
    <row r="13" spans="2:8" x14ac:dyDescent="0.35">
      <c r="B13" s="60">
        <v>2010</v>
      </c>
      <c r="C13" s="6">
        <v>0.17949999999999999</v>
      </c>
    </row>
    <row r="14" spans="2:8" x14ac:dyDescent="0.35">
      <c r="B14" s="60">
        <v>2011</v>
      </c>
      <c r="C14" s="6">
        <v>-0.2462</v>
      </c>
    </row>
    <row r="15" spans="2:8" x14ac:dyDescent="0.35">
      <c r="B15" s="60">
        <v>2012</v>
      </c>
      <c r="C15" s="6">
        <v>0.27699999999999997</v>
      </c>
    </row>
    <row r="16" spans="2:8" x14ac:dyDescent="0.35">
      <c r="B16" s="60">
        <v>2013</v>
      </c>
      <c r="C16" s="6">
        <v>6.7599999999999993E-2</v>
      </c>
    </row>
    <row r="17" spans="2:3" x14ac:dyDescent="0.35">
      <c r="B17" s="60">
        <v>2014</v>
      </c>
      <c r="C17" s="6">
        <v>0.31390000000000001</v>
      </c>
    </row>
    <row r="18" spans="2:3" x14ac:dyDescent="0.35">
      <c r="B18" s="60">
        <v>2015</v>
      </c>
      <c r="C18" s="6">
        <v>-4.0599999999999997E-2</v>
      </c>
    </row>
    <row r="19" spans="2:3" x14ac:dyDescent="0.35">
      <c r="B19" s="60">
        <v>2016</v>
      </c>
      <c r="C19" s="6">
        <v>3.0099999999999998E-2</v>
      </c>
    </row>
    <row r="20" spans="2:3" x14ac:dyDescent="0.35">
      <c r="B20" s="60">
        <v>2017</v>
      </c>
      <c r="C20" s="6">
        <v>0.28649999999999998</v>
      </c>
    </row>
    <row r="21" spans="2:3" x14ac:dyDescent="0.35">
      <c r="B21" s="60">
        <v>2018</v>
      </c>
      <c r="C21" s="6">
        <v>3.15E-2</v>
      </c>
    </row>
    <row r="22" spans="2:3" x14ac:dyDescent="0.35">
      <c r="B22" s="60">
        <v>2019</v>
      </c>
      <c r="C22" s="6">
        <v>0.1202</v>
      </c>
    </row>
    <row r="23" spans="2:3" x14ac:dyDescent="0.35">
      <c r="B23" s="60">
        <v>2020</v>
      </c>
      <c r="C23" s="6">
        <v>0.14899999999999999</v>
      </c>
    </row>
    <row r="24" spans="2:3" x14ac:dyDescent="0.35">
      <c r="B24" s="60">
        <v>2021</v>
      </c>
      <c r="C24" s="6">
        <v>0.2412</v>
      </c>
    </row>
    <row r="25" spans="2:3" x14ac:dyDescent="0.35">
      <c r="B25" s="60">
        <v>2022</v>
      </c>
      <c r="C25" s="6">
        <v>4.3200000000000002E-2</v>
      </c>
    </row>
    <row r="26" spans="2:3" x14ac:dyDescent="0.35">
      <c r="B26" s="60">
        <v>2023</v>
      </c>
      <c r="C26" s="6">
        <v>0.19420000000000001</v>
      </c>
    </row>
    <row r="27" spans="2:3" x14ac:dyDescent="0.35">
      <c r="B27" s="60">
        <v>2024</v>
      </c>
      <c r="C27" s="6">
        <v>8.7499999999999994E-2</v>
      </c>
    </row>
    <row r="28" spans="2:3" x14ac:dyDescent="0.35">
      <c r="B28" s="60">
        <v>2025</v>
      </c>
      <c r="C28" s="6">
        <v>0.1051</v>
      </c>
    </row>
    <row r="29" spans="2:3" x14ac:dyDescent="0.35">
      <c r="B29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WACC</vt:lpstr>
      <vt:lpstr>Data - Hind. Unilever</vt:lpstr>
      <vt:lpstr>Data - Nestle India</vt:lpstr>
      <vt:lpstr>Data - Britannia Inds.</vt:lpstr>
      <vt:lpstr>Data - Godrej Consumer</vt:lpstr>
      <vt:lpstr>Data - Dabur India</vt:lpstr>
      <vt:lpstr>Beta Comps</vt:lpstr>
      <vt:lpstr>DCF&gt;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Dhibi Kunnel</dc:creator>
  <cp:lastModifiedBy>dhibikunnel@gmail.com</cp:lastModifiedBy>
  <dcterms:created xsi:type="dcterms:W3CDTF">2026-07-23T13:10:04Z</dcterms:created>
  <dcterms:modified xsi:type="dcterms:W3CDTF">2026-07-27T18:44:05Z</dcterms:modified>
</cp:coreProperties>
</file>