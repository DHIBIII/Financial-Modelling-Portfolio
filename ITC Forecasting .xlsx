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nib\Desktop\"/>
    </mc:Choice>
  </mc:AlternateContent>
  <xr:revisionPtr revIDLastSave="0" documentId="8_{A95B7079-1D55-417F-8BF0-F877FE3064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istoricalFS" sheetId="7" r:id="rId1"/>
    <sheet name="Ratio Analysis" sheetId="11" r:id="rId2"/>
    <sheet name="Forecasting " sheetId="12" r:id="rId3"/>
    <sheet name="Data Sheet" sheetId="6" r:id="rId4"/>
    <sheet name="Cash Flow Data" sheetId="10" r:id="rId5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5" i="12" l="1" a="1"/>
  <c r="N5" i="12" s="1"/>
  <c r="I5" i="12" a="1"/>
  <c r="I5" i="12" s="1"/>
  <c r="I8" i="12"/>
  <c r="I12" i="12"/>
  <c r="D5" i="12" a="1"/>
  <c r="D5" i="12" s="1"/>
  <c r="N8" i="12" l="1"/>
  <c r="N11" i="12"/>
  <c r="N7" i="12"/>
  <c r="N14" i="12"/>
  <c r="N10" i="12"/>
  <c r="N6" i="12"/>
  <c r="N12" i="12"/>
  <c r="N13" i="12"/>
  <c r="N9" i="12"/>
  <c r="I7" i="12"/>
  <c r="I14" i="12"/>
  <c r="I10" i="12"/>
  <c r="I6" i="12"/>
  <c r="I11" i="12"/>
  <c r="I13" i="12"/>
  <c r="I9" i="12"/>
  <c r="D7" i="12"/>
  <c r="D8" i="12"/>
  <c r="D11" i="12"/>
  <c r="D14" i="12"/>
  <c r="D10" i="12"/>
  <c r="D6" i="12"/>
  <c r="D12" i="12"/>
  <c r="D13" i="12"/>
  <c r="D9" i="12"/>
  <c r="G15" i="11" l="1"/>
  <c r="H5" i="12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M5" i="12"/>
  <c r="L3" i="12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M6" i="12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M19" i="12" s="1"/>
  <c r="C5" i="12"/>
  <c r="G3" i="12"/>
  <c r="B3" i="12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C6" i="12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L28" i="11"/>
  <c r="L35" i="11" s="1"/>
  <c r="D28" i="11"/>
  <c r="D35" i="11" s="1"/>
  <c r="E27" i="11"/>
  <c r="E34" i="11" s="1"/>
  <c r="B2" i="11"/>
  <c r="L3" i="11"/>
  <c r="K3" i="11"/>
  <c r="J3" i="11"/>
  <c r="I3" i="11"/>
  <c r="H3" i="11"/>
  <c r="G3" i="11"/>
  <c r="F3" i="11"/>
  <c r="E3" i="11"/>
  <c r="D3" i="11"/>
  <c r="C3" i="11"/>
  <c r="L101" i="7"/>
  <c r="K101" i="7"/>
  <c r="J101" i="7"/>
  <c r="I101" i="7"/>
  <c r="H101" i="7"/>
  <c r="G101" i="7"/>
  <c r="F101" i="7"/>
  <c r="E101" i="7"/>
  <c r="D101" i="7"/>
  <c r="L100" i="7"/>
  <c r="K100" i="7"/>
  <c r="J100" i="7"/>
  <c r="I100" i="7"/>
  <c r="H100" i="7"/>
  <c r="G100" i="7"/>
  <c r="F100" i="7"/>
  <c r="E100" i="7"/>
  <c r="D100" i="7"/>
  <c r="L99" i="7"/>
  <c r="K99" i="7"/>
  <c r="J99" i="7"/>
  <c r="I99" i="7"/>
  <c r="H99" i="7"/>
  <c r="G99" i="7"/>
  <c r="F99" i="7"/>
  <c r="E99" i="7"/>
  <c r="D99" i="7"/>
  <c r="L98" i="7"/>
  <c r="K98" i="7"/>
  <c r="J98" i="7"/>
  <c r="I98" i="7"/>
  <c r="H98" i="7"/>
  <c r="G98" i="7"/>
  <c r="F98" i="7"/>
  <c r="E98" i="7"/>
  <c r="D98" i="7"/>
  <c r="L97" i="7"/>
  <c r="K97" i="7"/>
  <c r="J97" i="7"/>
  <c r="I97" i="7"/>
  <c r="H97" i="7"/>
  <c r="G97" i="7"/>
  <c r="F97" i="7"/>
  <c r="E97" i="7"/>
  <c r="D97" i="7"/>
  <c r="L96" i="7"/>
  <c r="K96" i="7"/>
  <c r="J96" i="7"/>
  <c r="I96" i="7"/>
  <c r="H96" i="7"/>
  <c r="G96" i="7"/>
  <c r="F96" i="7"/>
  <c r="E96" i="7"/>
  <c r="D96" i="7"/>
  <c r="L95" i="7"/>
  <c r="K95" i="7"/>
  <c r="J95" i="7"/>
  <c r="I95" i="7"/>
  <c r="H95" i="7"/>
  <c r="G95" i="7"/>
  <c r="F95" i="7"/>
  <c r="F102" i="7" s="1"/>
  <c r="E95" i="7"/>
  <c r="D95" i="7"/>
  <c r="L94" i="7"/>
  <c r="K94" i="7"/>
  <c r="K102" i="7" s="1"/>
  <c r="J94" i="7"/>
  <c r="I94" i="7"/>
  <c r="H94" i="7"/>
  <c r="G94" i="7"/>
  <c r="G102" i="7" s="1"/>
  <c r="F94" i="7"/>
  <c r="E94" i="7"/>
  <c r="D94" i="7"/>
  <c r="L93" i="7"/>
  <c r="L102" i="7" s="1"/>
  <c r="K93" i="7"/>
  <c r="J93" i="7"/>
  <c r="I93" i="7"/>
  <c r="I102" i="7" s="1"/>
  <c r="H93" i="7"/>
  <c r="H102" i="7" s="1"/>
  <c r="G93" i="7"/>
  <c r="F93" i="7"/>
  <c r="E93" i="7"/>
  <c r="D93" i="7"/>
  <c r="D102" i="7" s="1"/>
  <c r="C101" i="7"/>
  <c r="C100" i="7"/>
  <c r="C99" i="7"/>
  <c r="C98" i="7"/>
  <c r="C97" i="7"/>
  <c r="C96" i="7"/>
  <c r="C95" i="7"/>
  <c r="C94" i="7"/>
  <c r="C102" i="7" s="1"/>
  <c r="C93" i="7"/>
  <c r="L89" i="7"/>
  <c r="K89" i="7"/>
  <c r="J89" i="7"/>
  <c r="I89" i="7"/>
  <c r="H89" i="7"/>
  <c r="G89" i="7"/>
  <c r="F89" i="7"/>
  <c r="E89" i="7"/>
  <c r="D89" i="7"/>
  <c r="L88" i="7"/>
  <c r="K88" i="7"/>
  <c r="J88" i="7"/>
  <c r="I88" i="7"/>
  <c r="H88" i="7"/>
  <c r="G88" i="7"/>
  <c r="F88" i="7"/>
  <c r="E88" i="7"/>
  <c r="D88" i="7"/>
  <c r="L87" i="7"/>
  <c r="K87" i="7"/>
  <c r="J87" i="7"/>
  <c r="I87" i="7"/>
  <c r="H87" i="7"/>
  <c r="G87" i="7"/>
  <c r="F87" i="7"/>
  <c r="E87" i="7"/>
  <c r="D87" i="7"/>
  <c r="L86" i="7"/>
  <c r="K86" i="7"/>
  <c r="J86" i="7"/>
  <c r="I86" i="7"/>
  <c r="H86" i="7"/>
  <c r="G86" i="7"/>
  <c r="F86" i="7"/>
  <c r="E86" i="7"/>
  <c r="D86" i="7"/>
  <c r="L85" i="7"/>
  <c r="K85" i="7"/>
  <c r="J85" i="7"/>
  <c r="J90" i="7" s="1"/>
  <c r="I85" i="7"/>
  <c r="H85" i="7"/>
  <c r="G85" i="7"/>
  <c r="F85" i="7"/>
  <c r="E85" i="7"/>
  <c r="D85" i="7"/>
  <c r="L84" i="7"/>
  <c r="K84" i="7"/>
  <c r="J84" i="7"/>
  <c r="I84" i="7"/>
  <c r="H84" i="7"/>
  <c r="G84" i="7"/>
  <c r="F84" i="7"/>
  <c r="E84" i="7"/>
  <c r="D84" i="7"/>
  <c r="L83" i="7"/>
  <c r="L90" i="7" s="1"/>
  <c r="K83" i="7"/>
  <c r="J83" i="7"/>
  <c r="I83" i="7"/>
  <c r="H83" i="7"/>
  <c r="G83" i="7"/>
  <c r="F83" i="7"/>
  <c r="F90" i="7" s="1"/>
  <c r="E83" i="7"/>
  <c r="D83" i="7"/>
  <c r="D90" i="7" s="1"/>
  <c r="L82" i="7"/>
  <c r="K82" i="7"/>
  <c r="K90" i="7" s="1"/>
  <c r="J82" i="7"/>
  <c r="I82" i="7"/>
  <c r="I90" i="7" s="1"/>
  <c r="H82" i="7"/>
  <c r="H90" i="7" s="1"/>
  <c r="G82" i="7"/>
  <c r="G90" i="7" s="1"/>
  <c r="F82" i="7"/>
  <c r="E82" i="7"/>
  <c r="E90" i="7" s="1"/>
  <c r="D82" i="7"/>
  <c r="C89" i="7"/>
  <c r="C88" i="7"/>
  <c r="C87" i="7"/>
  <c r="C86" i="7"/>
  <c r="C85" i="7"/>
  <c r="C84" i="7"/>
  <c r="C83" i="7"/>
  <c r="C82" i="7"/>
  <c r="C90" i="7" s="1"/>
  <c r="D79" i="7"/>
  <c r="L78" i="7"/>
  <c r="K78" i="7"/>
  <c r="J78" i="7"/>
  <c r="I78" i="7"/>
  <c r="H78" i="7"/>
  <c r="G78" i="7"/>
  <c r="F78" i="7"/>
  <c r="E78" i="7"/>
  <c r="D78" i="7"/>
  <c r="L77" i="7"/>
  <c r="L79" i="7" s="1"/>
  <c r="K77" i="7"/>
  <c r="J77" i="7"/>
  <c r="I77" i="7"/>
  <c r="H77" i="7"/>
  <c r="G77" i="7"/>
  <c r="F77" i="7"/>
  <c r="F79" i="7" s="1"/>
  <c r="E77" i="7"/>
  <c r="D77" i="7"/>
  <c r="L76" i="7"/>
  <c r="K76" i="7"/>
  <c r="J76" i="7"/>
  <c r="I76" i="7"/>
  <c r="H76" i="7"/>
  <c r="G76" i="7"/>
  <c r="F76" i="7"/>
  <c r="E76" i="7"/>
  <c r="D76" i="7"/>
  <c r="L75" i="7"/>
  <c r="K75" i="7"/>
  <c r="J75" i="7"/>
  <c r="I75" i="7"/>
  <c r="H75" i="7"/>
  <c r="G75" i="7"/>
  <c r="F75" i="7"/>
  <c r="E75" i="7"/>
  <c r="D75" i="7"/>
  <c r="L74" i="7"/>
  <c r="K74" i="7"/>
  <c r="J74" i="7"/>
  <c r="I74" i="7"/>
  <c r="H74" i="7"/>
  <c r="G74" i="7"/>
  <c r="F74" i="7"/>
  <c r="E74" i="7"/>
  <c r="D74" i="7"/>
  <c r="L73" i="7"/>
  <c r="K73" i="7"/>
  <c r="J73" i="7"/>
  <c r="I73" i="7"/>
  <c r="H73" i="7"/>
  <c r="G73" i="7"/>
  <c r="F73" i="7"/>
  <c r="E73" i="7"/>
  <c r="D73" i="7"/>
  <c r="L72" i="7"/>
  <c r="K72" i="7"/>
  <c r="J72" i="7"/>
  <c r="I72" i="7"/>
  <c r="H72" i="7"/>
  <c r="G72" i="7"/>
  <c r="F72" i="7"/>
  <c r="E72" i="7"/>
  <c r="D72" i="7"/>
  <c r="L71" i="7"/>
  <c r="K71" i="7"/>
  <c r="J71" i="7"/>
  <c r="I71" i="7"/>
  <c r="H71" i="7"/>
  <c r="G71" i="7"/>
  <c r="F71" i="7"/>
  <c r="E71" i="7"/>
  <c r="D71" i="7"/>
  <c r="L70" i="7"/>
  <c r="K70" i="7"/>
  <c r="J70" i="7"/>
  <c r="J79" i="7" s="1"/>
  <c r="I70" i="7"/>
  <c r="I79" i="7" s="1"/>
  <c r="H70" i="7"/>
  <c r="H79" i="7" s="1"/>
  <c r="G70" i="7"/>
  <c r="F70" i="7"/>
  <c r="E70" i="7"/>
  <c r="E79" i="7" s="1"/>
  <c r="D70" i="7"/>
  <c r="C78" i="7"/>
  <c r="C77" i="7"/>
  <c r="C76" i="7"/>
  <c r="C75" i="7"/>
  <c r="C74" i="7"/>
  <c r="C73" i="7"/>
  <c r="C72" i="7"/>
  <c r="C71" i="7"/>
  <c r="C70" i="7"/>
  <c r="K57" i="7"/>
  <c r="G57" i="7"/>
  <c r="L56" i="7"/>
  <c r="K56" i="7"/>
  <c r="J56" i="7"/>
  <c r="I56" i="7"/>
  <c r="H56" i="7"/>
  <c r="G56" i="7"/>
  <c r="F56" i="7"/>
  <c r="E56" i="7"/>
  <c r="D56" i="7"/>
  <c r="C56" i="7"/>
  <c r="L61" i="7"/>
  <c r="K61" i="7"/>
  <c r="J61" i="7"/>
  <c r="I61" i="7"/>
  <c r="H61" i="7"/>
  <c r="G61" i="7"/>
  <c r="F61" i="7"/>
  <c r="E61" i="7"/>
  <c r="D61" i="7"/>
  <c r="L60" i="7"/>
  <c r="K60" i="7"/>
  <c r="J60" i="7"/>
  <c r="I60" i="7"/>
  <c r="H60" i="7"/>
  <c r="G60" i="7"/>
  <c r="F60" i="7"/>
  <c r="E60" i="7"/>
  <c r="D60" i="7"/>
  <c r="L59" i="7"/>
  <c r="L62" i="7" s="1"/>
  <c r="L64" i="7" s="1"/>
  <c r="L66" i="7" s="1"/>
  <c r="K59" i="7"/>
  <c r="K62" i="7" s="1"/>
  <c r="K64" i="7" s="1"/>
  <c r="K66" i="7" s="1"/>
  <c r="J59" i="7"/>
  <c r="J62" i="7" s="1"/>
  <c r="I59" i="7"/>
  <c r="I62" i="7" s="1"/>
  <c r="H59" i="7"/>
  <c r="H62" i="7" s="1"/>
  <c r="H64" i="7" s="1"/>
  <c r="H66" i="7" s="1"/>
  <c r="G59" i="7"/>
  <c r="G62" i="7" s="1"/>
  <c r="F59" i="7"/>
  <c r="F62" i="7" s="1"/>
  <c r="E59" i="7"/>
  <c r="E62" i="7" s="1"/>
  <c r="D59" i="7"/>
  <c r="D62" i="7" s="1"/>
  <c r="D64" i="7" s="1"/>
  <c r="D66" i="7" s="1"/>
  <c r="C61" i="7"/>
  <c r="C60" i="7"/>
  <c r="C59" i="7"/>
  <c r="C62" i="7" s="1"/>
  <c r="L55" i="7"/>
  <c r="K55" i="7"/>
  <c r="J55" i="7"/>
  <c r="I55" i="7"/>
  <c r="H55" i="7"/>
  <c r="G55" i="7"/>
  <c r="F55" i="7"/>
  <c r="E55" i="7"/>
  <c r="D55" i="7"/>
  <c r="L54" i="7"/>
  <c r="K54" i="7"/>
  <c r="J54" i="7"/>
  <c r="I54" i="7"/>
  <c r="I57" i="7" s="1"/>
  <c r="H54" i="7"/>
  <c r="G54" i="7"/>
  <c r="F54" i="7"/>
  <c r="E54" i="7"/>
  <c r="E57" i="7" s="1"/>
  <c r="D54" i="7"/>
  <c r="L53" i="7"/>
  <c r="L57" i="7" s="1"/>
  <c r="K53" i="7"/>
  <c r="J53" i="7"/>
  <c r="J57" i="7" s="1"/>
  <c r="I53" i="7"/>
  <c r="H53" i="7"/>
  <c r="H57" i="7" s="1"/>
  <c r="G53" i="7"/>
  <c r="F53" i="7"/>
  <c r="F57" i="7" s="1"/>
  <c r="E53" i="7"/>
  <c r="D53" i="7"/>
  <c r="D57" i="7" s="1"/>
  <c r="C55" i="7"/>
  <c r="C54" i="7"/>
  <c r="C57" i="7" s="1"/>
  <c r="C53" i="7"/>
  <c r="L51" i="7"/>
  <c r="K51" i="7"/>
  <c r="J51" i="7"/>
  <c r="I51" i="7"/>
  <c r="H51" i="7"/>
  <c r="G51" i="7"/>
  <c r="F51" i="7"/>
  <c r="E51" i="7"/>
  <c r="D51" i="7"/>
  <c r="L50" i="7"/>
  <c r="K50" i="7"/>
  <c r="J50" i="7"/>
  <c r="I50" i="7"/>
  <c r="H50" i="7"/>
  <c r="G50" i="7"/>
  <c r="F50" i="7"/>
  <c r="E50" i="7"/>
  <c r="D50" i="7"/>
  <c r="L49" i="7"/>
  <c r="K49" i="7"/>
  <c r="J49" i="7"/>
  <c r="I49" i="7"/>
  <c r="H49" i="7"/>
  <c r="G49" i="7"/>
  <c r="F49" i="7"/>
  <c r="E49" i="7"/>
  <c r="D49" i="7"/>
  <c r="L48" i="7"/>
  <c r="K48" i="7"/>
  <c r="J48" i="7"/>
  <c r="I48" i="7"/>
  <c r="I31" i="11" s="1"/>
  <c r="H48" i="7"/>
  <c r="G48" i="7"/>
  <c r="F48" i="7"/>
  <c r="E48" i="7"/>
  <c r="D48" i="7"/>
  <c r="L47" i="7"/>
  <c r="K47" i="7"/>
  <c r="J47" i="7"/>
  <c r="I47" i="7"/>
  <c r="H47" i="7"/>
  <c r="G47" i="7"/>
  <c r="F47" i="7"/>
  <c r="E47" i="7"/>
  <c r="D47" i="7"/>
  <c r="C51" i="7"/>
  <c r="C50" i="7"/>
  <c r="C49" i="7"/>
  <c r="C48" i="7"/>
  <c r="C47" i="7"/>
  <c r="D36" i="7"/>
  <c r="D41" i="7" s="1"/>
  <c r="D9" i="11" s="1"/>
  <c r="E36" i="7"/>
  <c r="E41" i="7" s="1"/>
  <c r="F36" i="7"/>
  <c r="F41" i="7" s="1"/>
  <c r="F9" i="11" s="1"/>
  <c r="G36" i="7"/>
  <c r="G41" i="7" s="1"/>
  <c r="G9" i="11" s="1"/>
  <c r="H36" i="7"/>
  <c r="H41" i="7" s="1"/>
  <c r="H9" i="11" s="1"/>
  <c r="I36" i="7"/>
  <c r="I41" i="7" s="1"/>
  <c r="J36" i="7"/>
  <c r="J41" i="7" s="1"/>
  <c r="J9" i="11" s="1"/>
  <c r="K36" i="7"/>
  <c r="K41" i="7" s="1"/>
  <c r="K9" i="11" s="1"/>
  <c r="L36" i="7"/>
  <c r="M36" i="7" s="1"/>
  <c r="M41" i="7" s="1"/>
  <c r="C36" i="7"/>
  <c r="C41" i="7" s="1"/>
  <c r="M30" i="7"/>
  <c r="L30" i="7"/>
  <c r="K30" i="7"/>
  <c r="J30" i="7"/>
  <c r="I30" i="7"/>
  <c r="H30" i="7"/>
  <c r="G30" i="7"/>
  <c r="F30" i="7"/>
  <c r="E30" i="7"/>
  <c r="D30" i="7"/>
  <c r="C30" i="7"/>
  <c r="M24" i="7"/>
  <c r="L24" i="7"/>
  <c r="K24" i="7"/>
  <c r="J24" i="7"/>
  <c r="I24" i="7"/>
  <c r="H24" i="7"/>
  <c r="G24" i="7"/>
  <c r="F24" i="7"/>
  <c r="E24" i="7"/>
  <c r="D24" i="7"/>
  <c r="C24" i="7"/>
  <c r="M21" i="7"/>
  <c r="C21" i="7"/>
  <c r="D21" i="7"/>
  <c r="E21" i="7"/>
  <c r="F21" i="7"/>
  <c r="G21" i="7"/>
  <c r="H21" i="7"/>
  <c r="I21" i="7"/>
  <c r="J21" i="7"/>
  <c r="K21" i="7"/>
  <c r="L21" i="7"/>
  <c r="L15" i="7"/>
  <c r="K15" i="7"/>
  <c r="J15" i="7"/>
  <c r="I15" i="7"/>
  <c r="H15" i="7"/>
  <c r="G15" i="7"/>
  <c r="F15" i="7"/>
  <c r="E15" i="7"/>
  <c r="D15" i="7"/>
  <c r="C15" i="7"/>
  <c r="M9" i="7"/>
  <c r="C9" i="7"/>
  <c r="L9" i="7"/>
  <c r="L29" i="11" s="1"/>
  <c r="L36" i="11" s="1"/>
  <c r="K9" i="7"/>
  <c r="K28" i="11" s="1"/>
  <c r="K35" i="11" s="1"/>
  <c r="J9" i="7"/>
  <c r="J29" i="11" s="1"/>
  <c r="J36" i="11" s="1"/>
  <c r="I9" i="7"/>
  <c r="I28" i="11" s="1"/>
  <c r="I35" i="11" s="1"/>
  <c r="H9" i="7"/>
  <c r="H29" i="11" s="1"/>
  <c r="H36" i="11" s="1"/>
  <c r="G9" i="7"/>
  <c r="G28" i="11" s="1"/>
  <c r="G35" i="11" s="1"/>
  <c r="F9" i="7"/>
  <c r="F29" i="11" s="1"/>
  <c r="F36" i="11" s="1"/>
  <c r="E9" i="7"/>
  <c r="E28" i="11" s="1"/>
  <c r="E35" i="11" s="1"/>
  <c r="D9" i="7"/>
  <c r="D29" i="11" s="1"/>
  <c r="D36" i="11" s="1"/>
  <c r="M6" i="7"/>
  <c r="D6" i="7"/>
  <c r="E6" i="7"/>
  <c r="E31" i="11" s="1"/>
  <c r="F6" i="7"/>
  <c r="G6" i="7"/>
  <c r="G31" i="11" s="1"/>
  <c r="H6" i="7"/>
  <c r="I6" i="7"/>
  <c r="I30" i="11" s="1"/>
  <c r="J6" i="7"/>
  <c r="K6" i="7"/>
  <c r="K27" i="11" s="1"/>
  <c r="K34" i="11" s="1"/>
  <c r="L6" i="7"/>
  <c r="C6" i="7"/>
  <c r="C12" i="7" s="1"/>
  <c r="C13" i="7" s="1"/>
  <c r="C11" i="11" s="1"/>
  <c r="L3" i="7"/>
  <c r="D3" i="7"/>
  <c r="E3" i="7"/>
  <c r="F3" i="7"/>
  <c r="G3" i="7"/>
  <c r="H3" i="7"/>
  <c r="I3" i="7"/>
  <c r="J3" i="7"/>
  <c r="K3" i="7"/>
  <c r="C3" i="7"/>
  <c r="B2" i="7"/>
  <c r="B6" i="6"/>
  <c r="E1" i="6"/>
  <c r="I41" i="11" l="1"/>
  <c r="I39" i="11"/>
  <c r="F64" i="7"/>
  <c r="F66" i="7" s="1"/>
  <c r="J64" i="7"/>
  <c r="J66" i="7" s="1"/>
  <c r="J39" i="11"/>
  <c r="J41" i="11"/>
  <c r="H104" i="7"/>
  <c r="H41" i="11"/>
  <c r="H39" i="11"/>
  <c r="H40" i="11"/>
  <c r="E40" i="11"/>
  <c r="E41" i="11"/>
  <c r="E39" i="11"/>
  <c r="F39" i="11"/>
  <c r="F41" i="11"/>
  <c r="F40" i="11"/>
  <c r="L104" i="7"/>
  <c r="L41" i="11"/>
  <c r="L39" i="11"/>
  <c r="L40" i="11"/>
  <c r="D104" i="7"/>
  <c r="D41" i="11"/>
  <c r="D39" i="11"/>
  <c r="I9" i="11"/>
  <c r="J16" i="7"/>
  <c r="J17" i="11" s="1"/>
  <c r="J31" i="11"/>
  <c r="J27" i="11"/>
  <c r="J34" i="11" s="1"/>
  <c r="J30" i="11"/>
  <c r="F16" i="7"/>
  <c r="F17" i="11" s="1"/>
  <c r="F31" i="11"/>
  <c r="F27" i="11"/>
  <c r="F34" i="11" s="1"/>
  <c r="F30" i="11"/>
  <c r="E102" i="7"/>
  <c r="C27" i="11"/>
  <c r="G27" i="11"/>
  <c r="G34" i="11" s="1"/>
  <c r="F28" i="11"/>
  <c r="F35" i="11" s="1"/>
  <c r="E29" i="11"/>
  <c r="E36" i="11" s="1"/>
  <c r="E30" i="11"/>
  <c r="C31" i="11"/>
  <c r="K31" i="11"/>
  <c r="K29" i="11"/>
  <c r="K36" i="11" s="1"/>
  <c r="K37" i="11" s="1"/>
  <c r="K30" i="11"/>
  <c r="D40" i="11"/>
  <c r="C28" i="11"/>
  <c r="C79" i="7"/>
  <c r="G79" i="7"/>
  <c r="K79" i="7"/>
  <c r="J102" i="7"/>
  <c r="E9" i="11"/>
  <c r="O9" i="11" s="1"/>
  <c r="C29" i="11"/>
  <c r="I27" i="11"/>
  <c r="I34" i="11" s="1"/>
  <c r="H28" i="11"/>
  <c r="H35" i="11" s="1"/>
  <c r="H37" i="11" s="1"/>
  <c r="G29" i="11"/>
  <c r="G36" i="11" s="1"/>
  <c r="G37" i="11" s="1"/>
  <c r="G30" i="11"/>
  <c r="L30" i="11"/>
  <c r="L31" i="11"/>
  <c r="L27" i="11"/>
  <c r="L34" i="11" s="1"/>
  <c r="L37" i="11" s="1"/>
  <c r="H30" i="11"/>
  <c r="H31" i="11"/>
  <c r="H27" i="11"/>
  <c r="H34" i="11" s="1"/>
  <c r="D30" i="11"/>
  <c r="D31" i="11"/>
  <c r="D27" i="11"/>
  <c r="D34" i="11" s="1"/>
  <c r="C30" i="11"/>
  <c r="J28" i="11"/>
  <c r="J35" i="11" s="1"/>
  <c r="J37" i="11" s="1"/>
  <c r="I29" i="11"/>
  <c r="I36" i="11" s="1"/>
  <c r="O9" i="12"/>
  <c r="L16" i="12"/>
  <c r="O14" i="12"/>
  <c r="J9" i="12"/>
  <c r="H16" i="12"/>
  <c r="H17" i="12" s="1"/>
  <c r="H18" i="12" s="1"/>
  <c r="H19" i="12" s="1"/>
  <c r="G16" i="12"/>
  <c r="E11" i="12"/>
  <c r="E6" i="12"/>
  <c r="E37" i="11"/>
  <c r="I37" i="11"/>
  <c r="D37" i="11"/>
  <c r="F104" i="7"/>
  <c r="C64" i="7"/>
  <c r="C66" i="7" s="1"/>
  <c r="G64" i="7"/>
  <c r="G66" i="7" s="1"/>
  <c r="J104" i="7"/>
  <c r="E104" i="7"/>
  <c r="I104" i="7"/>
  <c r="E64" i="7"/>
  <c r="E66" i="7" s="1"/>
  <c r="I64" i="7"/>
  <c r="I66" i="7" s="1"/>
  <c r="I22" i="7"/>
  <c r="E22" i="7"/>
  <c r="M12" i="7"/>
  <c r="M18" i="7" s="1"/>
  <c r="M19" i="7" s="1"/>
  <c r="L41" i="7"/>
  <c r="L9" i="11" s="1"/>
  <c r="G10" i="7"/>
  <c r="K10" i="7"/>
  <c r="C16" i="7"/>
  <c r="C17" i="11" s="1"/>
  <c r="G16" i="7"/>
  <c r="G17" i="11" s="1"/>
  <c r="K16" i="7"/>
  <c r="K17" i="11" s="1"/>
  <c r="M22" i="7"/>
  <c r="G25" i="7"/>
  <c r="G18" i="11" s="1"/>
  <c r="K25" i="7"/>
  <c r="K18" i="11" s="1"/>
  <c r="J22" i="7"/>
  <c r="F22" i="7"/>
  <c r="F25" i="7"/>
  <c r="F18" i="11" s="1"/>
  <c r="J25" i="7"/>
  <c r="J18" i="11" s="1"/>
  <c r="L10" i="7"/>
  <c r="H10" i="7"/>
  <c r="D10" i="7"/>
  <c r="E12" i="7"/>
  <c r="I12" i="7"/>
  <c r="C10" i="7"/>
  <c r="E16" i="7"/>
  <c r="E17" i="11" s="1"/>
  <c r="I16" i="7"/>
  <c r="I17" i="11" s="1"/>
  <c r="L22" i="7"/>
  <c r="H22" i="7"/>
  <c r="D22" i="7"/>
  <c r="D25" i="7"/>
  <c r="D18" i="11" s="1"/>
  <c r="H25" i="7"/>
  <c r="H18" i="11" s="1"/>
  <c r="L25" i="7"/>
  <c r="L18" i="11" s="1"/>
  <c r="K7" i="7"/>
  <c r="K5" i="11" s="1"/>
  <c r="G7" i="7"/>
  <c r="G5" i="11" s="1"/>
  <c r="F10" i="7"/>
  <c r="J10" i="7"/>
  <c r="K22" i="7"/>
  <c r="G22" i="7"/>
  <c r="C22" i="7"/>
  <c r="E25" i="7"/>
  <c r="E18" i="11" s="1"/>
  <c r="I25" i="7"/>
  <c r="I18" i="11" s="1"/>
  <c r="M25" i="7"/>
  <c r="F7" i="7"/>
  <c r="F5" i="11" s="1"/>
  <c r="C18" i="7"/>
  <c r="J6" i="12" s="1"/>
  <c r="D16" i="7"/>
  <c r="D17" i="11" s="1"/>
  <c r="H16" i="7"/>
  <c r="H17" i="11" s="1"/>
  <c r="L16" i="7"/>
  <c r="L17" i="11" s="1"/>
  <c r="C25" i="7"/>
  <c r="C18" i="11" s="1"/>
  <c r="E7" i="7"/>
  <c r="E5" i="11" s="1"/>
  <c r="I7" i="7"/>
  <c r="I5" i="11" s="1"/>
  <c r="E10" i="7"/>
  <c r="I10" i="7"/>
  <c r="M10" i="7"/>
  <c r="F12" i="7"/>
  <c r="J12" i="7"/>
  <c r="J7" i="7"/>
  <c r="J5" i="11" s="1"/>
  <c r="G12" i="7"/>
  <c r="K12" i="7"/>
  <c r="M16" i="7"/>
  <c r="D12" i="7"/>
  <c r="H12" i="7"/>
  <c r="L12" i="7"/>
  <c r="D7" i="7"/>
  <c r="D5" i="11" s="1"/>
  <c r="H7" i="7"/>
  <c r="H5" i="11" s="1"/>
  <c r="L7" i="7"/>
  <c r="L5" i="11" s="1"/>
  <c r="P5" i="11" l="1"/>
  <c r="O5" i="11"/>
  <c r="C104" i="7"/>
  <c r="C40" i="11"/>
  <c r="C41" i="11"/>
  <c r="C39" i="11"/>
  <c r="P31" i="11"/>
  <c r="O31" i="11"/>
  <c r="O30" i="11"/>
  <c r="P30" i="11"/>
  <c r="C35" i="11"/>
  <c r="O28" i="11"/>
  <c r="P28" i="11"/>
  <c r="P17" i="11"/>
  <c r="O17" i="11"/>
  <c r="K104" i="7"/>
  <c r="K40" i="11"/>
  <c r="K39" i="11"/>
  <c r="K41" i="11"/>
  <c r="P9" i="11"/>
  <c r="J40" i="11"/>
  <c r="I40" i="11"/>
  <c r="P27" i="11"/>
  <c r="O27" i="11"/>
  <c r="C34" i="11"/>
  <c r="O18" i="11"/>
  <c r="P18" i="11"/>
  <c r="C25" i="11"/>
  <c r="C13" i="11"/>
  <c r="C21" i="11"/>
  <c r="C36" i="11"/>
  <c r="P29" i="11"/>
  <c r="O29" i="11"/>
  <c r="G104" i="7"/>
  <c r="G40" i="11"/>
  <c r="G41" i="11"/>
  <c r="G39" i="11"/>
  <c r="F37" i="11"/>
  <c r="J11" i="12"/>
  <c r="O7" i="12"/>
  <c r="J8" i="12"/>
  <c r="E8" i="12"/>
  <c r="D18" i="12"/>
  <c r="E9" i="12"/>
  <c r="E12" i="12"/>
  <c r="D16" i="12"/>
  <c r="D19" i="12"/>
  <c r="E19" i="12" s="1"/>
  <c r="E13" i="12"/>
  <c r="E10" i="12"/>
  <c r="I16" i="12"/>
  <c r="J14" i="12"/>
  <c r="J12" i="12"/>
  <c r="O8" i="12"/>
  <c r="O11" i="12"/>
  <c r="D15" i="12"/>
  <c r="E15" i="12" s="1"/>
  <c r="E7" i="12"/>
  <c r="E14" i="12"/>
  <c r="I15" i="12"/>
  <c r="J15" i="12" s="1"/>
  <c r="D17" i="12"/>
  <c r="L17" i="12"/>
  <c r="O10" i="12"/>
  <c r="O12" i="12"/>
  <c r="O13" i="12"/>
  <c r="J7" i="12"/>
  <c r="G17" i="12"/>
  <c r="I17" i="12" s="1"/>
  <c r="J10" i="12"/>
  <c r="J13" i="12"/>
  <c r="M27" i="7"/>
  <c r="M31" i="7" s="1"/>
  <c r="M13" i="7"/>
  <c r="C19" i="7"/>
  <c r="C12" i="11" s="1"/>
  <c r="C27" i="7"/>
  <c r="H18" i="7"/>
  <c r="H13" i="7"/>
  <c r="H11" i="11" s="1"/>
  <c r="E18" i="7"/>
  <c r="E13" i="7"/>
  <c r="E11" i="11" s="1"/>
  <c r="D18" i="7"/>
  <c r="D13" i="7"/>
  <c r="D11" i="11" s="1"/>
  <c r="G18" i="7"/>
  <c r="G13" i="7"/>
  <c r="G11" i="11" s="1"/>
  <c r="J18" i="7"/>
  <c r="J13" i="7"/>
  <c r="J11" i="11" s="1"/>
  <c r="L18" i="7"/>
  <c r="L13" i="7"/>
  <c r="L11" i="11" s="1"/>
  <c r="K18" i="7"/>
  <c r="K13" i="7"/>
  <c r="K11" i="11" s="1"/>
  <c r="F18" i="7"/>
  <c r="F13" i="7"/>
  <c r="F11" i="11" s="1"/>
  <c r="I18" i="7"/>
  <c r="I13" i="7"/>
  <c r="I11" i="11" s="1"/>
  <c r="P35" i="11" l="1"/>
  <c r="O35" i="11"/>
  <c r="C37" i="11"/>
  <c r="F6" i="11"/>
  <c r="F25" i="11"/>
  <c r="P25" i="11" s="1"/>
  <c r="F7" i="11"/>
  <c r="F13" i="11"/>
  <c r="F19" i="11" s="1"/>
  <c r="F21" i="11"/>
  <c r="L25" i="11"/>
  <c r="L7" i="11"/>
  <c r="L6" i="11"/>
  <c r="L21" i="11"/>
  <c r="L13" i="11"/>
  <c r="L19" i="11" s="1"/>
  <c r="G21" i="11"/>
  <c r="G13" i="11"/>
  <c r="G19" i="11" s="1"/>
  <c r="G6" i="11"/>
  <c r="G25" i="11"/>
  <c r="G7" i="11"/>
  <c r="E21" i="11"/>
  <c r="E13" i="11"/>
  <c r="E19" i="11" s="1"/>
  <c r="E6" i="11"/>
  <c r="E25" i="11"/>
  <c r="E7" i="11"/>
  <c r="O39" i="11"/>
  <c r="P39" i="11"/>
  <c r="O11" i="11"/>
  <c r="P11" i="11"/>
  <c r="C19" i="11"/>
  <c r="P34" i="11"/>
  <c r="O34" i="11"/>
  <c r="P41" i="11"/>
  <c r="O41" i="11"/>
  <c r="I21" i="11"/>
  <c r="I13" i="11"/>
  <c r="I19" i="11" s="1"/>
  <c r="I25" i="11"/>
  <c r="I7" i="11"/>
  <c r="I6" i="11"/>
  <c r="K21" i="11"/>
  <c r="K13" i="11"/>
  <c r="K19" i="11" s="1"/>
  <c r="K25" i="11"/>
  <c r="K7" i="11"/>
  <c r="K6" i="11"/>
  <c r="J6" i="11"/>
  <c r="J25" i="11"/>
  <c r="J7" i="11"/>
  <c r="J21" i="11"/>
  <c r="J13" i="11"/>
  <c r="J19" i="11" s="1"/>
  <c r="D25" i="11"/>
  <c r="D7" i="11"/>
  <c r="D6" i="11"/>
  <c r="D21" i="11"/>
  <c r="O21" i="11" s="1"/>
  <c r="D13" i="11"/>
  <c r="D19" i="11" s="1"/>
  <c r="H25" i="11"/>
  <c r="H7" i="11"/>
  <c r="H6" i="11"/>
  <c r="H13" i="11"/>
  <c r="H19" i="11" s="1"/>
  <c r="H21" i="11"/>
  <c r="P36" i="11"/>
  <c r="O36" i="11"/>
  <c r="P40" i="11"/>
  <c r="O40" i="11"/>
  <c r="J16" i="12"/>
  <c r="E17" i="12"/>
  <c r="E18" i="12"/>
  <c r="E16" i="12"/>
  <c r="L18" i="12"/>
  <c r="J17" i="12"/>
  <c r="G18" i="12"/>
  <c r="I18" i="12" s="1"/>
  <c r="M33" i="7"/>
  <c r="M34" i="7" s="1"/>
  <c r="M28" i="7"/>
  <c r="C33" i="7"/>
  <c r="C28" i="7"/>
  <c r="C14" i="11" s="1"/>
  <c r="C31" i="7"/>
  <c r="F19" i="7"/>
  <c r="F12" i="11" s="1"/>
  <c r="F27" i="7"/>
  <c r="G19" i="7"/>
  <c r="G12" i="11" s="1"/>
  <c r="G27" i="7"/>
  <c r="I19" i="7"/>
  <c r="I12" i="11" s="1"/>
  <c r="I27" i="7"/>
  <c r="K19" i="7"/>
  <c r="K12" i="11" s="1"/>
  <c r="K27" i="7"/>
  <c r="J19" i="7"/>
  <c r="J12" i="11" s="1"/>
  <c r="J27" i="7"/>
  <c r="D19" i="7"/>
  <c r="D12" i="11" s="1"/>
  <c r="P12" i="11" s="1"/>
  <c r="D27" i="7"/>
  <c r="H19" i="7"/>
  <c r="H12" i="11" s="1"/>
  <c r="H27" i="7"/>
  <c r="M38" i="7"/>
  <c r="L19" i="7"/>
  <c r="L12" i="11" s="1"/>
  <c r="L27" i="7"/>
  <c r="E19" i="7"/>
  <c r="E12" i="11" s="1"/>
  <c r="E27" i="7"/>
  <c r="P13" i="11" l="1"/>
  <c r="O12" i="11"/>
  <c r="C38" i="7"/>
  <c r="C23" i="11"/>
  <c r="O6" i="11"/>
  <c r="P6" i="11"/>
  <c r="P19" i="11"/>
  <c r="O19" i="11"/>
  <c r="O25" i="11"/>
  <c r="P7" i="11"/>
  <c r="O7" i="11"/>
  <c r="P21" i="11"/>
  <c r="P37" i="11"/>
  <c r="O37" i="11"/>
  <c r="O13" i="11"/>
  <c r="L19" i="12"/>
  <c r="J18" i="12"/>
  <c r="G19" i="12"/>
  <c r="M42" i="7"/>
  <c r="M44" i="7" s="1"/>
  <c r="C34" i="7"/>
  <c r="C15" i="11" s="1"/>
  <c r="E31" i="7"/>
  <c r="E28" i="7"/>
  <c r="E14" i="11" s="1"/>
  <c r="E33" i="7"/>
  <c r="D31" i="7"/>
  <c r="D28" i="7"/>
  <c r="D14" i="11" s="1"/>
  <c r="O14" i="11" s="1"/>
  <c r="D33" i="7"/>
  <c r="K33" i="7"/>
  <c r="K31" i="7"/>
  <c r="K28" i="7"/>
  <c r="K14" i="11" s="1"/>
  <c r="G33" i="7"/>
  <c r="G31" i="7"/>
  <c r="G28" i="7"/>
  <c r="G14" i="11" s="1"/>
  <c r="I31" i="7"/>
  <c r="I28" i="7"/>
  <c r="I14" i="11" s="1"/>
  <c r="I33" i="7"/>
  <c r="L28" i="7"/>
  <c r="L14" i="11" s="1"/>
  <c r="L31" i="7"/>
  <c r="L33" i="7"/>
  <c r="H28" i="7"/>
  <c r="H14" i="11" s="1"/>
  <c r="H31" i="7"/>
  <c r="H33" i="7"/>
  <c r="J31" i="7"/>
  <c r="J33" i="7"/>
  <c r="J28" i="7"/>
  <c r="J14" i="11" s="1"/>
  <c r="F33" i="7"/>
  <c r="F31" i="7"/>
  <c r="F28" i="7"/>
  <c r="F14" i="11" s="1"/>
  <c r="N15" i="12" l="1"/>
  <c r="O15" i="12" s="1"/>
  <c r="O6" i="12"/>
  <c r="N16" i="12"/>
  <c r="O16" i="12" s="1"/>
  <c r="N17" i="12"/>
  <c r="P14" i="11"/>
  <c r="J8" i="11"/>
  <c r="J23" i="11"/>
  <c r="I23" i="11"/>
  <c r="I8" i="11"/>
  <c r="K23" i="11"/>
  <c r="K8" i="11"/>
  <c r="E23" i="11"/>
  <c r="E8" i="11"/>
  <c r="C42" i="7"/>
  <c r="C44" i="7" s="1"/>
  <c r="C22" i="11" s="1"/>
  <c r="N19" i="12"/>
  <c r="L8" i="11"/>
  <c r="L23" i="11"/>
  <c r="G23" i="11"/>
  <c r="O23" i="11" s="1"/>
  <c r="G8" i="11"/>
  <c r="D23" i="11"/>
  <c r="D8" i="11"/>
  <c r="N18" i="12"/>
  <c r="F8" i="11"/>
  <c r="F23" i="11"/>
  <c r="H8" i="11"/>
  <c r="H23" i="11"/>
  <c r="P23" i="11"/>
  <c r="O19" i="12"/>
  <c r="I19" i="12"/>
  <c r="J19" i="12" s="1"/>
  <c r="J38" i="7"/>
  <c r="J34" i="7"/>
  <c r="J15" i="11" s="1"/>
  <c r="I34" i="7"/>
  <c r="I15" i="11" s="1"/>
  <c r="I38" i="7"/>
  <c r="K38" i="7"/>
  <c r="K34" i="7"/>
  <c r="K15" i="11" s="1"/>
  <c r="E34" i="7"/>
  <c r="E15" i="11" s="1"/>
  <c r="O15" i="11" s="1"/>
  <c r="E38" i="7"/>
  <c r="G38" i="7"/>
  <c r="G34" i="7"/>
  <c r="L38" i="7"/>
  <c r="L34" i="7"/>
  <c r="L15" i="11" s="1"/>
  <c r="D34" i="7"/>
  <c r="D15" i="11" s="1"/>
  <c r="P15" i="11" s="1"/>
  <c r="D38" i="7"/>
  <c r="F38" i="7"/>
  <c r="F34" i="7"/>
  <c r="F15" i="11" s="1"/>
  <c r="H34" i="7"/>
  <c r="H15" i="11" s="1"/>
  <c r="H38" i="7"/>
  <c r="O18" i="12" l="1"/>
  <c r="C24" i="11"/>
  <c r="O8" i="11"/>
  <c r="P8" i="11"/>
  <c r="O17" i="12"/>
  <c r="G39" i="7"/>
  <c r="G42" i="7"/>
  <c r="G44" i="7" s="1"/>
  <c r="G22" i="11" s="1"/>
  <c r="G24" i="11" s="1"/>
  <c r="K39" i="7"/>
  <c r="K42" i="7"/>
  <c r="K44" i="7" s="1"/>
  <c r="K22" i="11" s="1"/>
  <c r="K24" i="11" s="1"/>
  <c r="J39" i="7"/>
  <c r="J42" i="7"/>
  <c r="J44" i="7" s="1"/>
  <c r="J22" i="11" s="1"/>
  <c r="J24" i="11" s="1"/>
  <c r="E39" i="7"/>
  <c r="E42" i="7"/>
  <c r="E44" i="7" s="1"/>
  <c r="E22" i="11" s="1"/>
  <c r="E24" i="11" s="1"/>
  <c r="I39" i="7"/>
  <c r="I42" i="7"/>
  <c r="I44" i="7" s="1"/>
  <c r="I22" i="11" s="1"/>
  <c r="I24" i="11" s="1"/>
  <c r="F39" i="7"/>
  <c r="F42" i="7"/>
  <c r="F44" i="7" s="1"/>
  <c r="F22" i="11" s="1"/>
  <c r="F24" i="11" s="1"/>
  <c r="L39" i="7"/>
  <c r="L42" i="7"/>
  <c r="L44" i="7" s="1"/>
  <c r="L22" i="11" s="1"/>
  <c r="L24" i="11" s="1"/>
  <c r="M39" i="7"/>
  <c r="H39" i="7"/>
  <c r="H42" i="7"/>
  <c r="H44" i="7" s="1"/>
  <c r="H22" i="11" s="1"/>
  <c r="H24" i="11" s="1"/>
  <c r="D39" i="7"/>
  <c r="D42" i="7"/>
  <c r="D44" i="7" s="1"/>
  <c r="D22" i="11" s="1"/>
  <c r="D24" i="11" s="1"/>
  <c r="O22" i="11" l="1"/>
  <c r="P22" i="11"/>
  <c r="P24" i="11"/>
  <c r="O24" i="11"/>
</calcChain>
</file>

<file path=xl/sharedStrings.xml><?xml version="1.0" encoding="utf-8"?>
<sst xmlns="http://schemas.openxmlformats.org/spreadsheetml/2006/main" count="230" uniqueCount="166">
  <si>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</si>
  <si>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</si>
  <si>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</si>
  <si>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</si>
  <si>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</si>
  <si>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</si>
  <si>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</si>
  <si>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</si>
  <si>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</si>
  <si>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</si>
  <si>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</si>
  <si>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</si>
  <si>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</si>
  <si>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</si>
  <si>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</si>
  <si>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</si>
  <si>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</si>
  <si>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</si>
  <si>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</si>
  <si>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</si>
  <si>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</si>
  <si>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</si>
  <si>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</si>
  <si>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</si>
  <si>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</si>
  <si>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</si>
  <si>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</si>
  <si>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</si>
  <si>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</si>
  <si>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</si>
  <si>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</si>
  <si>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EPS</t>
  </si>
  <si>
    <t>LATEST VERSION</t>
  </si>
  <si>
    <t>CURRENT VERSION</t>
  </si>
  <si>
    <t>ITC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</si>
  <si>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</si>
  <si>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</si>
  <si>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</si>
  <si>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</si>
  <si>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</si>
  <si>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</si>
  <si>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</si>
  <si>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</si>
  <si>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</si>
  <si>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</si>
  <si>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</si>
  <si>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</si>
  <si>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</si>
  <si>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</si>
  <si>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</si>
  <si>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</si>
  <si>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</si>
  <si>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</si>
  <si>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</si>
  <si>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</si>
  <si>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</si>
  <si>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 xml:space="preserve">Years </t>
  </si>
  <si>
    <t>LTM</t>
  </si>
  <si>
    <t>#</t>
  </si>
  <si>
    <t xml:space="preserve">Income Statement </t>
  </si>
  <si>
    <t xml:space="preserve">Sales Growth </t>
  </si>
  <si>
    <t>-</t>
  </si>
  <si>
    <t>COS</t>
  </si>
  <si>
    <t>COS % Sales</t>
  </si>
  <si>
    <t xml:space="preserve">Gross Profit </t>
  </si>
  <si>
    <t xml:space="preserve">Selling &amp; General Expenses </t>
  </si>
  <si>
    <t>SG&amp;A % Sales</t>
  </si>
  <si>
    <t>EBITDA</t>
  </si>
  <si>
    <t>EBITDA % Sales</t>
  </si>
  <si>
    <t xml:space="preserve">Interest </t>
  </si>
  <si>
    <t>Interest % Sales</t>
  </si>
  <si>
    <t>Depreciation % Sales</t>
  </si>
  <si>
    <t>Gross Margins</t>
  </si>
  <si>
    <t xml:space="preserve">Earnings Before Tax </t>
  </si>
  <si>
    <t>EBT % Sales</t>
  </si>
  <si>
    <t xml:space="preserve">Tax </t>
  </si>
  <si>
    <t xml:space="preserve">Effective Tax rate </t>
  </si>
  <si>
    <t>Net Profit</t>
  </si>
  <si>
    <t>Net Margin</t>
  </si>
  <si>
    <t>No. of Equity Shares O/S</t>
  </si>
  <si>
    <t xml:space="preserve">Earnings Per Share </t>
  </si>
  <si>
    <t xml:space="preserve">Dividends Per Share </t>
  </si>
  <si>
    <t xml:space="preserve">EPS growth % </t>
  </si>
  <si>
    <t xml:space="preserve">Dividend Payout Ratio </t>
  </si>
  <si>
    <t>Retained Earnings</t>
  </si>
  <si>
    <t xml:space="preserve">Balance Sheet </t>
  </si>
  <si>
    <t>Total Liabilities</t>
  </si>
  <si>
    <t>Fixed Assets Net Block</t>
  </si>
  <si>
    <t xml:space="preserve">Total Non Current Asset </t>
  </si>
  <si>
    <t xml:space="preserve">Total Current Asset </t>
  </si>
  <si>
    <t xml:space="preserve">Total Asset 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</si>
  <si>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</si>
  <si>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</si>
  <si>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</si>
  <si>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</si>
  <si>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</si>
  <si>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</si>
  <si>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</si>
  <si>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Other operating items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</si>
  <si>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</si>
  <si>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</si>
  <si>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</si>
  <si>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</si>
  <si>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</si>
  <si>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</si>
  <si>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</si>
  <si>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Other investing items</t>
  </si>
  <si>
    <t>Proceeds from shares</t>
  </si>
  <si>
    <t>Proceeds from borrowings</t>
  </si>
  <si>
    <t>Repayment of borrowings</t>
  </si>
  <si>
    <t>Proceeds from deposits</t>
  </si>
  <si>
    <t>Interest paid fin</t>
  </si>
  <si>
    <t>Dividends paid</t>
  </si>
  <si>
    <t>Financial liabilities</t>
  </si>
  <si>
    <t>Application money refund</t>
  </si>
  <si>
    <t>Other financing items</t>
  </si>
  <si>
    <t>Free Cash Flow</t>
  </si>
  <si>
    <t>CFO/OP</t>
  </si>
  <si>
    <t>Cash from Operating Activity -</t>
  </si>
  <si>
    <t>Cash from Investing Activity -</t>
  </si>
  <si>
    <t>Cash from Financing Activity -</t>
  </si>
  <si>
    <t xml:space="preserve">Cash Flow Statement </t>
  </si>
  <si>
    <t xml:space="preserve"> Operating Activities</t>
  </si>
  <si>
    <t xml:space="preserve">Cash from Operating Activities </t>
  </si>
  <si>
    <t xml:space="preserve">Investing Activities </t>
  </si>
  <si>
    <t xml:space="preserve">Cash from Investing Activities </t>
  </si>
  <si>
    <t>Financing Activities</t>
  </si>
  <si>
    <t xml:space="preserve">Cash from Financing  Activities </t>
  </si>
  <si>
    <t>EBITDA growth</t>
  </si>
  <si>
    <t>EBIT growth</t>
  </si>
  <si>
    <t>Net profit growth</t>
  </si>
  <si>
    <t>EBITDA margin</t>
  </si>
  <si>
    <t>Gross margin</t>
  </si>
  <si>
    <t xml:space="preserve">EBIT margin </t>
  </si>
  <si>
    <t xml:space="preserve">Sales growth </t>
  </si>
  <si>
    <t>Dividend growth</t>
  </si>
  <si>
    <t>Net Profit margin</t>
  </si>
  <si>
    <t>SalesExpenses%sales</t>
  </si>
  <si>
    <t>Depreciation%sales</t>
  </si>
  <si>
    <t>OperatingIncome%sales</t>
  </si>
  <si>
    <t>Return on Capital Employed</t>
  </si>
  <si>
    <t xml:space="preserve">Retained earnings % </t>
  </si>
  <si>
    <t xml:space="preserve">Return on equity % </t>
  </si>
  <si>
    <t xml:space="preserve">Self sustained growth rate </t>
  </si>
  <si>
    <t>Interest Coverage ratio</t>
  </si>
  <si>
    <t>Debtor Turnover ratio</t>
  </si>
  <si>
    <t>Creditor Turnover ratio</t>
  </si>
  <si>
    <t>Inventory Turnover ratio</t>
  </si>
  <si>
    <t>Fixed Asset Turnover ratio</t>
  </si>
  <si>
    <t>Capital Turnover ratio</t>
  </si>
  <si>
    <t>Payable days</t>
  </si>
  <si>
    <t>Inventory days</t>
  </si>
  <si>
    <t>Cash Conversion Cycle</t>
  </si>
  <si>
    <t>Debtors days</t>
  </si>
  <si>
    <t>CFO/Sales</t>
  </si>
  <si>
    <t>CFO/Total Assets</t>
  </si>
  <si>
    <t xml:space="preserve">CFO/Total Debt </t>
  </si>
  <si>
    <t>EBT margin</t>
  </si>
  <si>
    <t>(in days)</t>
  </si>
  <si>
    <t>Mean</t>
  </si>
  <si>
    <t>Median</t>
  </si>
  <si>
    <t xml:space="preserve">Trend </t>
  </si>
  <si>
    <t xml:space="preserve">Year Weight </t>
  </si>
  <si>
    <t>Year</t>
  </si>
  <si>
    <t>EBITDA Growth</t>
  </si>
  <si>
    <t>EPS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</si>
</sst>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[Red]&quot;₹&quot;\ #,##0.0"/>
    <numFmt numFmtId="167" formatCode="&quot;₹&quot;\ #,##0.0;\(&quot;₹&quot;\ #,##0.0\);\-"/>
    <numFmt numFmtId="168" formatCode="0.00&quot;x&quot;"/>
    <numFmt numFmtId="169" formatCode="0\ "/>
    <numFmt numFmtId="170" formatCode="yyyy"/>
    <numFmt numFmtId="171" formatCode="yyyy&quot;A&quot;"/>
    <numFmt numFmtId="172" formatCode="yyyy&quot;E&quot;"/>
    <numFmt numFmtId="173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60">
    <xf numFmtId="0" fontId="0" fillId="0" borderId="0" xfId="0"/>
    <xf numFmtId="43" fontId="1" fillId="0" borderId="0" xfId="1" applyFont="1" applyBorder="1"/>
    <xf numFmtId="0" fontId="1" fillId="0" borderId="0" xfId="0" applyFont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0" fontId="0" fillId="0" borderId="0" xfId="0" applyAlignment="1">
      <alignment horizontal="left"/>
    </xf>
    <xf numFmtId="164" fontId="0" fillId="0" borderId="0" xfId="1" applyNumberFormat="1" applyFont="1" applyBorder="1"/>
    <xf numFmtId="0" fontId="5" fillId="4" borderId="0" xfId="0" applyFont="1" applyFill="1"/>
    <xf numFmtId="17" fontId="5" fillId="4" borderId="0" xfId="0" applyNumberFormat="1" applyFont="1" applyFill="1"/>
    <xf numFmtId="0" fontId="5" fillId="4" borderId="0" xfId="0" applyFont="1" applyFill="1" applyAlignment="1">
      <alignment horizontal="right"/>
    </xf>
    <xf numFmtId="166" fontId="0" fillId="0" borderId="0" xfId="0" applyNumberFormat="1"/>
    <xf numFmtId="0" fontId="7" fillId="0" borderId="0" xfId="0" applyFont="1"/>
    <xf numFmtId="10" fontId="7" fillId="0" borderId="0" xfId="4" applyNumberFormat="1" applyFont="1"/>
    <xf numFmtId="0" fontId="1" fillId="5" borderId="0" xfId="0" applyFont="1" applyFill="1"/>
    <xf numFmtId="0" fontId="0" fillId="5" borderId="0" xfId="0" applyFill="1"/>
    <xf numFmtId="0" fontId="0" fillId="6" borderId="0" xfId="0" applyFill="1"/>
    <xf numFmtId="0" fontId="5" fillId="6" borderId="0" xfId="0" applyFont="1" applyFill="1"/>
    <xf numFmtId="17" fontId="5" fillId="6" borderId="0" xfId="0" applyNumberFormat="1" applyFont="1" applyFill="1"/>
    <xf numFmtId="0" fontId="5" fillId="6" borderId="0" xfId="0" applyFont="1" applyFill="1" applyAlignment="1">
      <alignment horizontal="right"/>
    </xf>
    <xf numFmtId="167" fontId="0" fillId="0" borderId="0" xfId="0" applyNumberFormat="1"/>
    <xf numFmtId="167" fontId="0" fillId="0" borderId="0" xfId="0" applyNumberFormat="1" applyAlignment="1">
      <alignment horizontal="center"/>
    </xf>
    <xf numFmtId="167" fontId="1" fillId="0" borderId="0" xfId="0" applyNumberFormat="1" applyFont="1"/>
    <xf numFmtId="17" fontId="0" fillId="0" borderId="0" xfId="0" applyNumberFormat="1"/>
    <xf numFmtId="3" fontId="0" fillId="0" borderId="0" xfId="0" applyNumberFormat="1"/>
    <xf numFmtId="9" fontId="0" fillId="0" borderId="0" xfId="0" applyNumberFormat="1"/>
    <xf numFmtId="0" fontId="1" fillId="0" borderId="1" xfId="0" applyFont="1" applyBorder="1"/>
    <xf numFmtId="167" fontId="1" fillId="0" borderId="1" xfId="0" applyNumberFormat="1" applyFont="1" applyBorder="1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2" xfId="0" applyBorder="1"/>
    <xf numFmtId="10" fontId="0" fillId="0" borderId="2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3" xfId="0" applyBorder="1"/>
    <xf numFmtId="10" fontId="0" fillId="0" borderId="3" xfId="0" applyNumberFormat="1" applyBorder="1" applyAlignment="1">
      <alignment horizontal="center"/>
    </xf>
    <xf numFmtId="10" fontId="0" fillId="0" borderId="0" xfId="4" applyNumberFormat="1" applyFont="1" applyBorder="1" applyAlignment="1">
      <alignment horizontal="center"/>
    </xf>
    <xf numFmtId="168" fontId="0" fillId="0" borderId="3" xfId="0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0" fontId="8" fillId="0" borderId="2" xfId="0" applyFont="1" applyBorder="1"/>
    <xf numFmtId="0" fontId="0" fillId="0" borderId="2" xfId="0" applyBorder="1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3" xfId="0" applyNumberFormat="1" applyBorder="1" applyAlignment="1">
      <alignment horizontal="center"/>
    </xf>
    <xf numFmtId="10" fontId="0" fillId="0" borderId="0" xfId="4" applyNumberFormat="1" applyFont="1"/>
    <xf numFmtId="10" fontId="0" fillId="0" borderId="2" xfId="4" applyNumberFormat="1" applyFont="1" applyBorder="1" applyAlignment="1">
      <alignment horizontal="center"/>
    </xf>
    <xf numFmtId="10" fontId="0" fillId="0" borderId="3" xfId="4" applyNumberFormat="1" applyFont="1" applyBorder="1" applyAlignment="1">
      <alignment horizontal="center"/>
    </xf>
    <xf numFmtId="10" fontId="0" fillId="0" borderId="2" xfId="4" applyNumberFormat="1" applyFont="1" applyBorder="1"/>
    <xf numFmtId="17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left"/>
    </xf>
    <xf numFmtId="170" fontId="0" fillId="0" borderId="0" xfId="0" applyNumberFormat="1" applyAlignment="1">
      <alignment horizontal="right"/>
    </xf>
    <xf numFmtId="171" fontId="0" fillId="0" borderId="0" xfId="0" applyNumberFormat="1" applyAlignment="1">
      <alignment horizontal="right"/>
    </xf>
    <xf numFmtId="173" fontId="0" fillId="0" borderId="0" xfId="0" applyNumberFormat="1"/>
    <xf numFmtId="0" fontId="0" fillId="7" borderId="0" xfId="0" applyFill="1" applyAlignment="1">
      <alignment horizontal="left"/>
    </xf>
    <xf numFmtId="172" fontId="0" fillId="7" borderId="0" xfId="0" applyNumberFormat="1" applyFill="1" applyAlignment="1">
      <alignment horizontal="right"/>
    </xf>
    <xf numFmtId="173" fontId="0" fillId="7" borderId="0" xfId="0" applyNumberFormat="1" applyFill="1"/>
    <xf numFmtId="10" fontId="0" fillId="7" borderId="0" xfId="4" applyNumberFormat="1" applyFont="1" applyFill="1"/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0" fontId="5" fillId="4" borderId="0" xfId="0" applyFont="1" applyFill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BF6F-DDFE-4815-AD8D-CA0C757DFF27}">
  <sheetPr>
    <tabColor rgb="FF002060"/>
    <pageSetUpPr autoPageBreaks="0"/>
  </sheetPr>
  <dimension ref="A2:N104"/>
  <sheetViews>
    <sheetView showGridLines="0" tabSelected="1" workbookViewId="0">
      <pane ySplit="3" topLeftCell="A76" activePane="bottomLeft" state="frozen"/>
      <selection pane="bottomLeft" activeCell="C88" sqref="C88"/>
    </sheetView>
  </sheetViews>
  <sheetFormatPr defaultRowHeight="14.5" x14ac:dyDescent="0.35"/>
  <cols>
    <col min="1" max="1" width="1.81640625" customWidth="1"/>
    <col min="2" max="2" width="27" bestFit="1" customWidth="1"/>
    <col min="3" max="4" width="9.36328125" bestFit="1" customWidth="1"/>
    <col min="5" max="6" width="9.54296875" bestFit="1" customWidth="1"/>
    <col min="7" max="7" width="9.36328125" bestFit="1" customWidth="1"/>
    <col min="8" max="12" width="9.54296875" bestFit="1" customWidth="1"/>
    <col min="13" max="13" width="9.36328125" bestFit="1" customWidth="1"/>
  </cols>
  <sheetData>
    <row r="2" spans="1:13" x14ac:dyDescent="0.35">
      <c r="B2" s="59" t="str">
        <f>"Historical Statement - " &amp; 'Data Sheet'!B1</f>
        <v>Historical Statement - ITC LTD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 x14ac:dyDescent="0.35">
      <c r="B3" s="10" t="s">
        <v>56</v>
      </c>
      <c r="C3" s="11">
        <f>IFERROR('Data Sheet'!B16,0)</f>
        <v>42825</v>
      </c>
      <c r="D3" s="11">
        <f>IFERROR('Data Sheet'!C16,0)</f>
        <v>43190</v>
      </c>
      <c r="E3" s="11">
        <f>IFERROR('Data Sheet'!D16,0)</f>
        <v>43555</v>
      </c>
      <c r="F3" s="11">
        <f>IFERROR('Data Sheet'!E16,0)</f>
        <v>43921</v>
      </c>
      <c r="G3" s="11">
        <f>IFERROR('Data Sheet'!F16,0)</f>
        <v>44286</v>
      </c>
      <c r="H3" s="11">
        <f>IFERROR('Data Sheet'!G16,0)</f>
        <v>44651</v>
      </c>
      <c r="I3" s="11">
        <f>IFERROR('Data Sheet'!H16,0)</f>
        <v>45016</v>
      </c>
      <c r="J3" s="11">
        <f>IFERROR('Data Sheet'!I16,0)</f>
        <v>45382</v>
      </c>
      <c r="K3" s="11">
        <f>IFERROR('Data Sheet'!J16,0)</f>
        <v>45747</v>
      </c>
      <c r="L3" s="11">
        <f>IFERROR('Data Sheet'!K16,0)</f>
        <v>46112</v>
      </c>
      <c r="M3" s="12" t="s">
        <v>57</v>
      </c>
    </row>
    <row r="4" spans="1:13" s="18" customFormat="1" x14ac:dyDescent="0.35"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1"/>
    </row>
    <row r="5" spans="1:13" x14ac:dyDescent="0.35">
      <c r="A5" t="s">
        <v>58</v>
      </c>
      <c r="B5" s="16" t="s">
        <v>59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x14ac:dyDescent="0.35">
      <c r="B6" t="s">
        <v>1</v>
      </c>
      <c r="C6" s="22">
        <f>IFERROR('Data Sheet'!B17,0)</f>
        <v>42767.6</v>
      </c>
      <c r="D6" s="22">
        <f>IFERROR('Data Sheet'!C17,0)</f>
        <v>43448.94</v>
      </c>
      <c r="E6" s="22">
        <f>IFERROR('Data Sheet'!D17,0)</f>
        <v>48339.58</v>
      </c>
      <c r="F6" s="22">
        <f>IFERROR('Data Sheet'!E17,0)</f>
        <v>49387.7</v>
      </c>
      <c r="G6" s="22">
        <f>IFERROR('Data Sheet'!F17,0)</f>
        <v>49257.45</v>
      </c>
      <c r="H6" s="22">
        <f>IFERROR('Data Sheet'!G17,0)</f>
        <v>60644.54</v>
      </c>
      <c r="I6" s="22">
        <f>IFERROR('Data Sheet'!H17,0)</f>
        <v>70919.03</v>
      </c>
      <c r="J6" s="22">
        <f>IFERROR('Data Sheet'!I17,0)</f>
        <v>67931.94</v>
      </c>
      <c r="K6" s="22">
        <f>IFERROR('Data Sheet'!J17,0)</f>
        <v>75323.34</v>
      </c>
      <c r="L6" s="22">
        <f>IFERROR('Data Sheet'!K17,0)</f>
        <v>78868.399999999994</v>
      </c>
      <c r="M6" s="22">
        <f>IFERROR(SUM('Data Sheet'!H42:K42),0)</f>
        <v>78868.399999999994</v>
      </c>
    </row>
    <row r="7" spans="1:13" x14ac:dyDescent="0.35">
      <c r="B7" s="14" t="s">
        <v>60</v>
      </c>
      <c r="C7" s="23" t="s">
        <v>61</v>
      </c>
      <c r="D7" s="15">
        <f>D6/C6-1</f>
        <v>1.5931218960147486E-2</v>
      </c>
      <c r="E7" s="15">
        <f t="shared" ref="E7:L7" si="0">E6/D6-1</f>
        <v>0.11256062863673999</v>
      </c>
      <c r="F7" s="15">
        <f t="shared" si="0"/>
        <v>2.1682439110972673E-2</v>
      </c>
      <c r="G7" s="15">
        <f t="shared" si="0"/>
        <v>-2.6372963308678443E-3</v>
      </c>
      <c r="H7" s="15">
        <f t="shared" si="0"/>
        <v>0.23117497962237188</v>
      </c>
      <c r="I7" s="15">
        <f t="shared" si="0"/>
        <v>0.1694215175842706</v>
      </c>
      <c r="J7" s="15">
        <f t="shared" si="0"/>
        <v>-4.2119724423754779E-2</v>
      </c>
      <c r="K7" s="15">
        <f t="shared" si="0"/>
        <v>0.10880596078957838</v>
      </c>
      <c r="L7" s="15">
        <f t="shared" si="0"/>
        <v>4.7064561927285808E-2</v>
      </c>
      <c r="M7" s="23" t="s">
        <v>61</v>
      </c>
    </row>
    <row r="9" spans="1:13" x14ac:dyDescent="0.35">
      <c r="B9" t="s">
        <v>62</v>
      </c>
      <c r="C9" s="22">
        <f>IFERROR(SUM('Data Sheet'!B20:B22)-1*'Data Sheet'!B19,0)</f>
        <v>6492.53</v>
      </c>
      <c r="D9" s="22">
        <f>IFERROR(SUM('Data Sheet'!C20:C22)-1*'Data Sheet'!C19,0)</f>
        <v>7139.7800000000007</v>
      </c>
      <c r="E9" s="22">
        <f>IFERROR(SUM('Data Sheet'!D20:D22)-1*'Data Sheet'!D19,0)</f>
        <v>6592.43</v>
      </c>
      <c r="F9" s="22">
        <f>IFERROR(SUM('Data Sheet'!E20:E22)-1*'Data Sheet'!E19,0)</f>
        <v>6281.8</v>
      </c>
      <c r="G9" s="22">
        <f>IFERROR(SUM('Data Sheet'!F20:F22)-1*'Data Sheet'!F19,0)</f>
        <v>6104.7999999999993</v>
      </c>
      <c r="H9" s="22">
        <f>IFERROR(SUM('Data Sheet'!G20:G22)-1*'Data Sheet'!G19,0)</f>
        <v>6981.99</v>
      </c>
      <c r="I9" s="22">
        <f>IFERROR(SUM('Data Sheet'!H20:H22)-1*'Data Sheet'!H19,0)</f>
        <v>8937.77</v>
      </c>
      <c r="J9" s="22">
        <f>IFERROR(SUM('Data Sheet'!I20:I22)-1*'Data Sheet'!I19,0)</f>
        <v>8317.42</v>
      </c>
      <c r="K9" s="22">
        <f>IFERROR(SUM('Data Sheet'!J20:J22)-1*'Data Sheet'!J19,0)</f>
        <v>8764.84</v>
      </c>
      <c r="L9" s="22">
        <f>IFERROR(SUM('Data Sheet'!K20:K22)-1*'Data Sheet'!K19,0)</f>
        <v>7761.2300000000005</v>
      </c>
      <c r="M9" s="22">
        <f>IFERROR(SUM('Data Sheet'!H43:K43),0)</f>
        <v>51550.490000000005</v>
      </c>
    </row>
    <row r="10" spans="1:13" x14ac:dyDescent="0.35">
      <c r="B10" s="14" t="s">
        <v>63</v>
      </c>
      <c r="C10" s="15">
        <f>C9/C6</f>
        <v>0.15180954741439781</v>
      </c>
      <c r="D10" s="15">
        <f t="shared" ref="D10:M10" si="1">D9/D6</f>
        <v>0.16432575800468321</v>
      </c>
      <c r="E10" s="15">
        <f t="shared" si="1"/>
        <v>0.13637747783493362</v>
      </c>
      <c r="F10" s="15">
        <f t="shared" si="1"/>
        <v>0.12719361298460954</v>
      </c>
      <c r="G10" s="15">
        <f t="shared" si="1"/>
        <v>0.12393658218198465</v>
      </c>
      <c r="H10" s="15">
        <f t="shared" si="1"/>
        <v>0.11512973797806035</v>
      </c>
      <c r="I10" s="15">
        <f t="shared" si="1"/>
        <v>0.12602780946101491</v>
      </c>
      <c r="J10" s="15">
        <f t="shared" si="1"/>
        <v>0.12243754557870716</v>
      </c>
      <c r="K10" s="15">
        <f t="shared" si="1"/>
        <v>0.11636286972935614</v>
      </c>
      <c r="L10" s="15">
        <f t="shared" si="1"/>
        <v>9.8407346922214742E-2</v>
      </c>
      <c r="M10" s="15">
        <f t="shared" si="1"/>
        <v>0.65362667430808796</v>
      </c>
    </row>
    <row r="12" spans="1:13" x14ac:dyDescent="0.35">
      <c r="B12" s="28" t="s">
        <v>64</v>
      </c>
      <c r="C12" s="29">
        <f>C6-C9</f>
        <v>36275.07</v>
      </c>
      <c r="D12" s="29">
        <f t="shared" ref="D12:M12" si="2">D6-D9</f>
        <v>36309.160000000003</v>
      </c>
      <c r="E12" s="29">
        <f t="shared" si="2"/>
        <v>41747.15</v>
      </c>
      <c r="F12" s="29">
        <f t="shared" si="2"/>
        <v>43105.899999999994</v>
      </c>
      <c r="G12" s="29">
        <f t="shared" si="2"/>
        <v>43152.649999999994</v>
      </c>
      <c r="H12" s="29">
        <f t="shared" si="2"/>
        <v>53662.55</v>
      </c>
      <c r="I12" s="29">
        <f t="shared" si="2"/>
        <v>61981.259999999995</v>
      </c>
      <c r="J12" s="29">
        <f t="shared" si="2"/>
        <v>59614.520000000004</v>
      </c>
      <c r="K12" s="29">
        <f t="shared" si="2"/>
        <v>66558.5</v>
      </c>
      <c r="L12" s="29">
        <f t="shared" si="2"/>
        <v>71107.17</v>
      </c>
      <c r="M12" s="29">
        <f t="shared" si="2"/>
        <v>27317.909999999989</v>
      </c>
    </row>
    <row r="13" spans="1:13" x14ac:dyDescent="0.35">
      <c r="B13" s="14" t="s">
        <v>72</v>
      </c>
      <c r="C13" s="15">
        <f>C12/C6</f>
        <v>0.84819045258560222</v>
      </c>
      <c r="D13" s="15">
        <f t="shared" ref="D13:M13" si="3">D12/D6</f>
        <v>0.83567424199531681</v>
      </c>
      <c r="E13" s="15">
        <f t="shared" si="3"/>
        <v>0.86362252216506641</v>
      </c>
      <c r="F13" s="15">
        <f t="shared" si="3"/>
        <v>0.87280638701539037</v>
      </c>
      <c r="G13" s="15">
        <f t="shared" si="3"/>
        <v>0.87606341781801533</v>
      </c>
      <c r="H13" s="15">
        <f t="shared" si="3"/>
        <v>0.88487026202193964</v>
      </c>
      <c r="I13" s="15">
        <f t="shared" si="3"/>
        <v>0.87397219053898501</v>
      </c>
      <c r="J13" s="15">
        <f t="shared" si="3"/>
        <v>0.87756245442129288</v>
      </c>
      <c r="K13" s="15">
        <f t="shared" si="3"/>
        <v>0.88363713027064394</v>
      </c>
      <c r="L13" s="15">
        <f t="shared" si="3"/>
        <v>0.90159265307778536</v>
      </c>
      <c r="M13" s="15">
        <f t="shared" si="3"/>
        <v>0.34637332569191198</v>
      </c>
    </row>
    <row r="15" spans="1:13" x14ac:dyDescent="0.35">
      <c r="B15" t="s">
        <v>65</v>
      </c>
      <c r="C15" s="22">
        <f>IFERROR(SUM('Data Sheet'!B23:B24),0)</f>
        <v>5348.9699999999993</v>
      </c>
      <c r="D15" s="22">
        <f>IFERROR(SUM('Data Sheet'!C23:C24),0)</f>
        <v>4960.8500000000004</v>
      </c>
      <c r="E15" s="22">
        <f>IFERROR(SUM('Data Sheet'!D23:D24),0)</f>
        <v>5586.24</v>
      </c>
      <c r="F15" s="22">
        <f>IFERROR(SUM('Data Sheet'!E23:E24),0)</f>
        <v>5713.76</v>
      </c>
      <c r="G15" s="22">
        <f>IFERROR(SUM('Data Sheet'!F23:F24),0)</f>
        <v>5311.1600000000008</v>
      </c>
      <c r="H15" s="22">
        <f>IFERROR(SUM('Data Sheet'!G23:G24),0)</f>
        <v>5968.33</v>
      </c>
      <c r="I15" s="22">
        <f>IFERROR(SUM('Data Sheet'!H23:H24),0)</f>
        <v>6912.6399999999994</v>
      </c>
      <c r="J15" s="22">
        <f>IFERROR(SUM('Data Sheet'!I23:I24),0)</f>
        <v>7078.42</v>
      </c>
      <c r="K15" s="22">
        <f>IFERROR(SUM('Data Sheet'!J23:J24),0)</f>
        <v>8022.55</v>
      </c>
      <c r="L15" s="22">
        <f>IFERROR(SUM('Data Sheet'!K23:K24),0)</f>
        <v>8702.83</v>
      </c>
      <c r="M15" s="22"/>
    </row>
    <row r="16" spans="1:13" x14ac:dyDescent="0.35">
      <c r="B16" s="14" t="s">
        <v>66</v>
      </c>
      <c r="C16" s="15">
        <f>C15/C6</f>
        <v>0.12507061420327537</v>
      </c>
      <c r="D16" s="15">
        <f t="shared" ref="D16:M16" si="4">D15/D6</f>
        <v>0.11417654838069698</v>
      </c>
      <c r="E16" s="15">
        <f t="shared" si="4"/>
        <v>0.11556244386070379</v>
      </c>
      <c r="F16" s="15">
        <f t="shared" si="4"/>
        <v>0.11569196378855465</v>
      </c>
      <c r="G16" s="15">
        <f t="shared" si="4"/>
        <v>0.10782450167436604</v>
      </c>
      <c r="H16" s="15">
        <f t="shared" si="4"/>
        <v>9.8414960357519399E-2</v>
      </c>
      <c r="I16" s="15">
        <f t="shared" si="4"/>
        <v>9.7472286352478302E-2</v>
      </c>
      <c r="J16" s="15">
        <f t="shared" si="4"/>
        <v>0.10419870240714456</v>
      </c>
      <c r="K16" s="15">
        <f t="shared" si="4"/>
        <v>0.10650815537388544</v>
      </c>
      <c r="L16" s="15">
        <f t="shared" si="4"/>
        <v>0.1103462223146406</v>
      </c>
      <c r="M16" s="15">
        <f t="shared" si="4"/>
        <v>0</v>
      </c>
    </row>
    <row r="17" spans="2:14" x14ac:dyDescent="0.35">
      <c r="C17" s="13"/>
    </row>
    <row r="18" spans="2:14" x14ac:dyDescent="0.35">
      <c r="B18" s="28" t="s">
        <v>67</v>
      </c>
      <c r="C18" s="29">
        <f>C12-C15</f>
        <v>30926.1</v>
      </c>
      <c r="D18" s="29">
        <f t="shared" ref="D18:M18" si="5">D12-D15</f>
        <v>31348.310000000005</v>
      </c>
      <c r="E18" s="29">
        <f t="shared" si="5"/>
        <v>36160.910000000003</v>
      </c>
      <c r="F18" s="29">
        <f t="shared" si="5"/>
        <v>37392.139999999992</v>
      </c>
      <c r="G18" s="29">
        <f t="shared" si="5"/>
        <v>37841.489999999991</v>
      </c>
      <c r="H18" s="29">
        <f t="shared" si="5"/>
        <v>47694.22</v>
      </c>
      <c r="I18" s="29">
        <f t="shared" si="5"/>
        <v>55068.619999999995</v>
      </c>
      <c r="J18" s="29">
        <f t="shared" si="5"/>
        <v>52536.100000000006</v>
      </c>
      <c r="K18" s="29">
        <f t="shared" si="5"/>
        <v>58535.95</v>
      </c>
      <c r="L18" s="29">
        <f t="shared" si="5"/>
        <v>62404.34</v>
      </c>
      <c r="M18" s="29">
        <f t="shared" si="5"/>
        <v>27317.909999999989</v>
      </c>
    </row>
    <row r="19" spans="2:14" x14ac:dyDescent="0.35">
      <c r="B19" s="14" t="s">
        <v>68</v>
      </c>
      <c r="C19" s="15">
        <f>C18/C6</f>
        <v>0.72311983838232685</v>
      </c>
      <c r="D19" s="15">
        <f t="shared" ref="D19:M19" si="6">D18/D6</f>
        <v>0.72149769361461991</v>
      </c>
      <c r="E19" s="15">
        <f t="shared" si="6"/>
        <v>0.74806007830436261</v>
      </c>
      <c r="F19" s="15">
        <f t="shared" si="6"/>
        <v>0.75711442322683575</v>
      </c>
      <c r="G19" s="15">
        <f t="shared" si="6"/>
        <v>0.76823891614364914</v>
      </c>
      <c r="H19" s="15">
        <f t="shared" si="6"/>
        <v>0.78645530166442024</v>
      </c>
      <c r="I19" s="15">
        <f t="shared" si="6"/>
        <v>0.77649990418650672</v>
      </c>
      <c r="J19" s="15">
        <f t="shared" si="6"/>
        <v>0.77336375201414831</v>
      </c>
      <c r="K19" s="15">
        <f t="shared" si="6"/>
        <v>0.77712897489675847</v>
      </c>
      <c r="L19" s="15">
        <f t="shared" si="6"/>
        <v>0.79124643076314471</v>
      </c>
      <c r="M19" s="15">
        <f t="shared" si="6"/>
        <v>0.34637332569191198</v>
      </c>
    </row>
    <row r="21" spans="2:14" x14ac:dyDescent="0.35">
      <c r="B21" t="s">
        <v>69</v>
      </c>
      <c r="C21" s="22">
        <f>IFERROR(('Data Sheet'!B27),0)</f>
        <v>49.03</v>
      </c>
      <c r="D21" s="22">
        <f>IFERROR(('Data Sheet'!C27),0)</f>
        <v>115.01</v>
      </c>
      <c r="E21" s="22">
        <f>IFERROR(('Data Sheet'!D27),0)</f>
        <v>71.400000000000006</v>
      </c>
      <c r="F21" s="22">
        <f>IFERROR(('Data Sheet'!E27),0)</f>
        <v>81.38</v>
      </c>
      <c r="G21" s="22">
        <f>IFERROR(('Data Sheet'!F27),0)</f>
        <v>57.97</v>
      </c>
      <c r="H21" s="22">
        <f>IFERROR(('Data Sheet'!G27),0)</f>
        <v>59.99</v>
      </c>
      <c r="I21" s="22">
        <f>IFERROR(('Data Sheet'!H27),0)</f>
        <v>77.77</v>
      </c>
      <c r="J21" s="22">
        <f>IFERROR(('Data Sheet'!I27),0)</f>
        <v>39.11</v>
      </c>
      <c r="K21" s="22">
        <f>IFERROR(('Data Sheet'!J27),0)</f>
        <v>45.06</v>
      </c>
      <c r="L21" s="22">
        <f>IFERROR(('Data Sheet'!K27),0)</f>
        <v>85.17</v>
      </c>
      <c r="M21" s="22">
        <f>IFERROR(SUM('Data Sheet'!H46:K46),0)</f>
        <v>85.169999999999987</v>
      </c>
    </row>
    <row r="22" spans="2:14" x14ac:dyDescent="0.35">
      <c r="B22" s="14" t="s">
        <v>70</v>
      </c>
      <c r="C22" s="15">
        <f>C21/C6</f>
        <v>1.146428604831695E-3</v>
      </c>
      <c r="D22" s="15">
        <f t="shared" ref="D22:M22" si="7">D21/D6</f>
        <v>2.647015094039118E-3</v>
      </c>
      <c r="E22" s="15">
        <f t="shared" si="7"/>
        <v>1.4770504832685763E-3</v>
      </c>
      <c r="F22" s="15">
        <f t="shared" si="7"/>
        <v>1.647778697934911E-3</v>
      </c>
      <c r="G22" s="15">
        <f t="shared" si="7"/>
        <v>1.1768778123918311E-3</v>
      </c>
      <c r="H22" s="15">
        <f t="shared" si="7"/>
        <v>9.8920694262006107E-4</v>
      </c>
      <c r="I22" s="15">
        <f t="shared" si="7"/>
        <v>1.0966027031108574E-3</v>
      </c>
      <c r="J22" s="15">
        <f t="shared" si="7"/>
        <v>5.7572329010477244E-4</v>
      </c>
      <c r="K22" s="15">
        <f t="shared" si="7"/>
        <v>5.9822094984104534E-4</v>
      </c>
      <c r="L22" s="15">
        <f t="shared" si="7"/>
        <v>1.0799001881615451E-3</v>
      </c>
      <c r="M22" s="15">
        <f t="shared" si="7"/>
        <v>1.0799001881615449E-3</v>
      </c>
    </row>
    <row r="24" spans="2:14" x14ac:dyDescent="0.35">
      <c r="B24" s="4" t="s">
        <v>5</v>
      </c>
      <c r="C24" s="22">
        <f>IFERROR(('Data Sheet'!B26),0)</f>
        <v>1152.79</v>
      </c>
      <c r="D24" s="22">
        <f>IFERROR(('Data Sheet'!C26),0)</f>
        <v>1236.28</v>
      </c>
      <c r="E24" s="22">
        <f>IFERROR(('Data Sheet'!D26),0)</f>
        <v>1396.61</v>
      </c>
      <c r="F24" s="22">
        <f>IFERROR(('Data Sheet'!E26),0)</f>
        <v>1644.91</v>
      </c>
      <c r="G24" s="22">
        <f>IFERROR(('Data Sheet'!F26),0)</f>
        <v>1645.59</v>
      </c>
      <c r="H24" s="22">
        <f>IFERROR(('Data Sheet'!G26),0)</f>
        <v>1732.41</v>
      </c>
      <c r="I24" s="22">
        <f>IFERROR(('Data Sheet'!H26),0)</f>
        <v>1809.01</v>
      </c>
      <c r="J24" s="22">
        <f>IFERROR(('Data Sheet'!I26),0)</f>
        <v>1518.05</v>
      </c>
      <c r="K24" s="22">
        <f>IFERROR(('Data Sheet'!J26),0)</f>
        <v>1646.32</v>
      </c>
      <c r="L24" s="22">
        <f>IFERROR(('Data Sheet'!K26),0)</f>
        <v>1710.53</v>
      </c>
      <c r="M24" s="22">
        <f>IFERROR(SUM('Data Sheet'!H45:K45),0)</f>
        <v>1710.53</v>
      </c>
    </row>
    <row r="25" spans="2:14" x14ac:dyDescent="0.35">
      <c r="B25" s="14" t="s">
        <v>71</v>
      </c>
      <c r="C25" s="15">
        <f>C24/C6</f>
        <v>2.6954750792656124E-2</v>
      </c>
      <c r="D25" s="15">
        <f t="shared" ref="D25:M25" si="8">D24/D6</f>
        <v>2.845362855802696E-2</v>
      </c>
      <c r="E25" s="15">
        <f t="shared" si="8"/>
        <v>2.8891645314253867E-2</v>
      </c>
      <c r="F25" s="15">
        <f t="shared" si="8"/>
        <v>3.3306066085280348E-2</v>
      </c>
      <c r="G25" s="15">
        <f t="shared" si="8"/>
        <v>3.3407941336792708E-2</v>
      </c>
      <c r="H25" s="15">
        <f t="shared" si="8"/>
        <v>2.8566627762367396E-2</v>
      </c>
      <c r="I25" s="15">
        <f t="shared" si="8"/>
        <v>2.550810410125463E-2</v>
      </c>
      <c r="J25" s="15">
        <f t="shared" si="8"/>
        <v>2.2346631054552542E-2</v>
      </c>
      <c r="K25" s="15">
        <f t="shared" si="8"/>
        <v>2.1856704707996222E-2</v>
      </c>
      <c r="L25" s="15">
        <f t="shared" si="8"/>
        <v>2.1688407524433108E-2</v>
      </c>
      <c r="M25" s="15">
        <f t="shared" si="8"/>
        <v>2.1688407524433108E-2</v>
      </c>
      <c r="N25" s="14"/>
    </row>
    <row r="27" spans="2:14" x14ac:dyDescent="0.35">
      <c r="B27" s="28" t="s">
        <v>73</v>
      </c>
      <c r="C27" s="29">
        <f>IFERROR(C18-SUM(C21,C24),0)</f>
        <v>29724.28</v>
      </c>
      <c r="D27" s="29">
        <f t="shared" ref="D27:M27" si="9">IFERROR(D18-SUM(D21,D24),0)</f>
        <v>29997.020000000004</v>
      </c>
      <c r="E27" s="29">
        <f t="shared" si="9"/>
        <v>34692.9</v>
      </c>
      <c r="F27" s="29">
        <f t="shared" si="9"/>
        <v>35665.849999999991</v>
      </c>
      <c r="G27" s="29">
        <f t="shared" si="9"/>
        <v>36137.929999999993</v>
      </c>
      <c r="H27" s="29">
        <f t="shared" si="9"/>
        <v>45901.82</v>
      </c>
      <c r="I27" s="29">
        <f t="shared" si="9"/>
        <v>53181.84</v>
      </c>
      <c r="J27" s="29">
        <f t="shared" si="9"/>
        <v>50978.94</v>
      </c>
      <c r="K27" s="29">
        <f t="shared" si="9"/>
        <v>56844.57</v>
      </c>
      <c r="L27" s="29">
        <f t="shared" si="9"/>
        <v>60608.639999999999</v>
      </c>
      <c r="M27" s="29">
        <f t="shared" si="9"/>
        <v>25522.209999999988</v>
      </c>
    </row>
    <row r="28" spans="2:14" x14ac:dyDescent="0.35">
      <c r="B28" s="14" t="s">
        <v>74</v>
      </c>
      <c r="C28" s="15">
        <f>C27/C6</f>
        <v>0.69501865898483894</v>
      </c>
      <c r="D28" s="15">
        <f t="shared" ref="D28:M28" si="10">D27/D6</f>
        <v>0.6903970499625538</v>
      </c>
      <c r="E28" s="15">
        <f t="shared" si="10"/>
        <v>0.71769138250684017</v>
      </c>
      <c r="F28" s="15">
        <f t="shared" si="10"/>
        <v>0.72216057844362047</v>
      </c>
      <c r="G28" s="15">
        <f t="shared" si="10"/>
        <v>0.73365409699446471</v>
      </c>
      <c r="H28" s="15">
        <f t="shared" si="10"/>
        <v>0.75689946695943278</v>
      </c>
      <c r="I28" s="15">
        <f t="shared" si="10"/>
        <v>0.74989519738214128</v>
      </c>
      <c r="J28" s="15">
        <f t="shared" si="10"/>
        <v>0.75044139766949092</v>
      </c>
      <c r="K28" s="15">
        <f t="shared" si="10"/>
        <v>0.75467404923892123</v>
      </c>
      <c r="L28" s="15">
        <f t="shared" si="10"/>
        <v>0.76847812305055008</v>
      </c>
      <c r="M28" s="15">
        <f t="shared" si="10"/>
        <v>0.32360501797931734</v>
      </c>
    </row>
    <row r="30" spans="2:14" x14ac:dyDescent="0.35">
      <c r="B30" t="s">
        <v>75</v>
      </c>
      <c r="C30" s="22">
        <f>IFERROR('Data Sheet'!B29,0)</f>
        <v>5549.09</v>
      </c>
      <c r="D30" s="22">
        <f>IFERROR('Data Sheet'!C29,0)</f>
        <v>5916.43</v>
      </c>
      <c r="E30" s="22">
        <f>IFERROR('Data Sheet'!D29,0)</f>
        <v>6313.92</v>
      </c>
      <c r="F30" s="22">
        <f>IFERROR('Data Sheet'!E29,0)</f>
        <v>4441.79</v>
      </c>
      <c r="G30" s="22">
        <f>IFERROR('Data Sheet'!F29,0)</f>
        <v>4555.29</v>
      </c>
      <c r="H30" s="22">
        <f>IFERROR('Data Sheet'!G29,0)</f>
        <v>5237.34</v>
      </c>
      <c r="I30" s="22">
        <f>IFERROR('Data Sheet'!H29,0)</f>
        <v>6438.4</v>
      </c>
      <c r="J30" s="22">
        <f>IFERROR('Data Sheet'!I29,0)</f>
        <v>6209.46</v>
      </c>
      <c r="K30" s="22">
        <f>IFERROR('Data Sheet'!J29,0)</f>
        <v>6890.47</v>
      </c>
      <c r="L30" s="22">
        <f>IFERROR('Data Sheet'!K29,0)</f>
        <v>7015.24</v>
      </c>
      <c r="M30" s="22">
        <f>IFERROR(SUM('Data Sheet'!H48:K48),0)</f>
        <v>7015.2400000000007</v>
      </c>
    </row>
    <row r="31" spans="2:14" x14ac:dyDescent="0.35">
      <c r="B31" s="14" t="s">
        <v>76</v>
      </c>
      <c r="C31" s="15">
        <f>C30/C27</f>
        <v>0.18668543022741005</v>
      </c>
      <c r="D31" s="15">
        <f>D30/D27</f>
        <v>0.19723392523657349</v>
      </c>
      <c r="E31" s="15">
        <f t="shared" ref="E31:M31" si="11">E30/E27</f>
        <v>0.18199458678865127</v>
      </c>
      <c r="F31" s="15">
        <f>F30/F27</f>
        <v>0.12453901981867813</v>
      </c>
      <c r="G31" s="15">
        <f t="shared" si="11"/>
        <v>0.12605287574578844</v>
      </c>
      <c r="H31" s="15">
        <f t="shared" si="11"/>
        <v>0.11409874379708691</v>
      </c>
      <c r="I31" s="15">
        <f t="shared" si="11"/>
        <v>0.121063881956698</v>
      </c>
      <c r="J31" s="15">
        <f t="shared" si="11"/>
        <v>0.12180441570577967</v>
      </c>
      <c r="K31" s="15">
        <f t="shared" si="11"/>
        <v>0.12121597542210277</v>
      </c>
      <c r="L31" s="15">
        <f t="shared" si="11"/>
        <v>0.1157465338275203</v>
      </c>
      <c r="M31" s="15">
        <f t="shared" si="11"/>
        <v>0.27486804630163314</v>
      </c>
    </row>
    <row r="33" spans="1:13" x14ac:dyDescent="0.35">
      <c r="B33" s="28" t="s">
        <v>77</v>
      </c>
      <c r="C33" s="29">
        <f>IFERROR((C27-C30),0)</f>
        <v>24175.19</v>
      </c>
      <c r="D33" s="29">
        <f t="shared" ref="D33:M33" si="12">IFERROR((D27-D30),0)</f>
        <v>24080.590000000004</v>
      </c>
      <c r="E33" s="29">
        <f t="shared" si="12"/>
        <v>28378.980000000003</v>
      </c>
      <c r="F33" s="29">
        <f t="shared" si="12"/>
        <v>31224.05999999999</v>
      </c>
      <c r="G33" s="29">
        <f t="shared" si="12"/>
        <v>31582.639999999992</v>
      </c>
      <c r="H33" s="29">
        <f t="shared" si="12"/>
        <v>40664.479999999996</v>
      </c>
      <c r="I33" s="29">
        <f t="shared" si="12"/>
        <v>46743.439999999995</v>
      </c>
      <c r="J33" s="29">
        <f t="shared" si="12"/>
        <v>44769.48</v>
      </c>
      <c r="K33" s="29">
        <f t="shared" si="12"/>
        <v>49954.1</v>
      </c>
      <c r="L33" s="29">
        <f t="shared" si="12"/>
        <v>53593.4</v>
      </c>
      <c r="M33" s="29">
        <f t="shared" si="12"/>
        <v>18506.969999999987</v>
      </c>
    </row>
    <row r="34" spans="1:13" x14ac:dyDescent="0.35">
      <c r="B34" s="14" t="s">
        <v>78</v>
      </c>
      <c r="C34" s="15">
        <f>C33/C6</f>
        <v>0.56526880161617676</v>
      </c>
      <c r="D34" s="15">
        <f t="shared" ref="D34:M34" si="13">D33/D6</f>
        <v>0.55422732982668854</v>
      </c>
      <c r="E34" s="15">
        <f t="shared" si="13"/>
        <v>0.58707543590573197</v>
      </c>
      <c r="F34" s="15">
        <f t="shared" si="13"/>
        <v>0.63222340785256237</v>
      </c>
      <c r="G34" s="15">
        <f t="shared" si="13"/>
        <v>0.64117488826563285</v>
      </c>
      <c r="H34" s="15">
        <f t="shared" si="13"/>
        <v>0.67053818859867675</v>
      </c>
      <c r="I34" s="15">
        <f t="shared" si="13"/>
        <v>0.65910997372637492</v>
      </c>
      <c r="J34" s="15">
        <f t="shared" si="13"/>
        <v>0.65903432170493004</v>
      </c>
      <c r="K34" s="15">
        <f t="shared" si="13"/>
        <v>0.66319549823467738</v>
      </c>
      <c r="L34" s="15">
        <f t="shared" si="13"/>
        <v>0.67952944398517034</v>
      </c>
      <c r="M34" s="15">
        <f t="shared" si="13"/>
        <v>0.2346563389139375</v>
      </c>
    </row>
    <row r="36" spans="1:13" x14ac:dyDescent="0.35">
      <c r="B36" t="s">
        <v>79</v>
      </c>
      <c r="C36" s="22">
        <f>IFERROR('Data Sheet'!B93,0)</f>
        <v>1214.74</v>
      </c>
      <c r="D36" s="22">
        <f>IFERROR('Data Sheet'!C93,0)</f>
        <v>1220.43</v>
      </c>
      <c r="E36" s="22">
        <f>IFERROR('Data Sheet'!D93,0)</f>
        <v>1225.8599999999999</v>
      </c>
      <c r="F36" s="22">
        <f>IFERROR('Data Sheet'!E93,0)</f>
        <v>1229.22</v>
      </c>
      <c r="G36" s="22">
        <f>IFERROR('Data Sheet'!F93,0)</f>
        <v>1230.8800000000001</v>
      </c>
      <c r="H36" s="22">
        <f>IFERROR('Data Sheet'!G93,0)</f>
        <v>1232.33</v>
      </c>
      <c r="I36" s="22">
        <f>IFERROR('Data Sheet'!H93,0)</f>
        <v>1242.8</v>
      </c>
      <c r="J36" s="22">
        <f>IFERROR('Data Sheet'!I93,0)</f>
        <v>1248.47</v>
      </c>
      <c r="K36" s="22">
        <f>IFERROR('Data Sheet'!J93,0)</f>
        <v>1251.4100000000001</v>
      </c>
      <c r="L36" s="22">
        <f>IFERROR('Data Sheet'!K93,0)</f>
        <v>1252.95</v>
      </c>
      <c r="M36" s="23">
        <f>L36</f>
        <v>1252.95</v>
      </c>
    </row>
    <row r="37" spans="1:13" x14ac:dyDescent="0.35"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</row>
    <row r="38" spans="1:13" x14ac:dyDescent="0.35">
      <c r="B38" t="s">
        <v>80</v>
      </c>
      <c r="C38" s="22">
        <f>IFERROR(C33/C36,0)</f>
        <v>19.901534484745707</v>
      </c>
      <c r="D38" s="22">
        <f t="shared" ref="D38:M38" si="14">IFERROR(D33/D36,0)</f>
        <v>19.731234073236486</v>
      </c>
      <c r="E38" s="22">
        <f t="shared" si="14"/>
        <v>23.150261856982041</v>
      </c>
      <c r="F38" s="22">
        <f t="shared" si="14"/>
        <v>25.401522916971729</v>
      </c>
      <c r="G38" s="22">
        <f t="shared" si="14"/>
        <v>25.658585727284535</v>
      </c>
      <c r="H38" s="22">
        <f t="shared" si="14"/>
        <v>32.998044355002314</v>
      </c>
      <c r="I38" s="22">
        <f t="shared" si="14"/>
        <v>37.611393627293204</v>
      </c>
      <c r="J38" s="22">
        <f t="shared" si="14"/>
        <v>35.859475998622315</v>
      </c>
      <c r="K38" s="22">
        <f t="shared" si="14"/>
        <v>39.918252211505418</v>
      </c>
      <c r="L38" s="22">
        <f t="shared" si="14"/>
        <v>42.773773893611079</v>
      </c>
      <c r="M38" s="23">
        <f t="shared" si="14"/>
        <v>14.770717107625991</v>
      </c>
    </row>
    <row r="39" spans="1:13" x14ac:dyDescent="0.35">
      <c r="B39" s="14" t="s">
        <v>82</v>
      </c>
      <c r="C39" s="15"/>
      <c r="D39" s="15">
        <f>IFERROR((D38/C38-1),0)</f>
        <v>-8.557149783588458E-3</v>
      </c>
      <c r="E39" s="15">
        <f t="shared" ref="E39:M39" si="15">IFERROR((E38/D38-1),0)</f>
        <v>0.17327997686587371</v>
      </c>
      <c r="F39" s="15">
        <f t="shared" si="15"/>
        <v>9.7245598079950701E-2</v>
      </c>
      <c r="G39" s="15">
        <f t="shared" si="15"/>
        <v>1.011997631610706E-2</v>
      </c>
      <c r="H39" s="15">
        <f t="shared" si="15"/>
        <v>0.28604299183618798</v>
      </c>
      <c r="I39" s="15">
        <f t="shared" si="15"/>
        <v>0.13980674801994852</v>
      </c>
      <c r="J39" s="15">
        <f t="shared" si="15"/>
        <v>-4.6579439359024088E-2</v>
      </c>
      <c r="K39" s="15">
        <f t="shared" si="15"/>
        <v>0.11318559738683964</v>
      </c>
      <c r="L39" s="15">
        <f t="shared" si="15"/>
        <v>7.153423619290189E-2</v>
      </c>
      <c r="M39" s="15">
        <f t="shared" si="15"/>
        <v>-0.65467818798583433</v>
      </c>
    </row>
    <row r="40" spans="1:13" x14ac:dyDescent="0.35"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3"/>
    </row>
    <row r="41" spans="1:13" x14ac:dyDescent="0.35">
      <c r="B41" t="s">
        <v>81</v>
      </c>
      <c r="C41" s="22">
        <f>IFERROR(('Data Sheet'!B31/C36),0)</f>
        <v>4.7500041161071511</v>
      </c>
      <c r="D41" s="22">
        <f>IFERROR(('Data Sheet'!C31/D36),0)</f>
        <v>5.1499963127750057</v>
      </c>
      <c r="E41" s="22">
        <f>IFERROR(('Data Sheet'!D31/E36),0)</f>
        <v>5.7500040787691908</v>
      </c>
      <c r="F41" s="22">
        <f>IFERROR(('Data Sheet'!E31/F36),0)</f>
        <v>10.149997559427929</v>
      </c>
      <c r="G41" s="22">
        <f>IFERROR(('Data Sheet'!F31/G36),0)</f>
        <v>10.749999999999998</v>
      </c>
      <c r="H41" s="22">
        <f>IFERROR(('Data Sheet'!G31/H36),0)</f>
        <v>11.500004057354767</v>
      </c>
      <c r="I41" s="22">
        <f>IFERROR(('Data Sheet'!H31/I36),0)</f>
        <v>15.500000000000002</v>
      </c>
      <c r="J41" s="22">
        <f>IFERROR(('Data Sheet'!I31/J36),0)</f>
        <v>13.749997997548999</v>
      </c>
      <c r="K41" s="22">
        <f>IFERROR(('Data Sheet'!J31/K36),0)</f>
        <v>14.349997203154841</v>
      </c>
      <c r="L41" s="22">
        <f>IFERROR(('Data Sheet'!K31/L36),0)</f>
        <v>14.500003990582224</v>
      </c>
      <c r="M41" s="23">
        <f>IFERROR(('Data Sheet'!L31/M36),0)</f>
        <v>0</v>
      </c>
    </row>
    <row r="42" spans="1:13" x14ac:dyDescent="0.35">
      <c r="B42" s="14" t="s">
        <v>83</v>
      </c>
      <c r="C42" s="15">
        <f>IFERROR((C41/C38),0)</f>
        <v>0.23867526997719565</v>
      </c>
      <c r="D42" s="15">
        <f t="shared" ref="D42:M42" si="16">IFERROR((D41/D38),0)</f>
        <v>0.26100730920629434</v>
      </c>
      <c r="E42" s="15">
        <f t="shared" si="16"/>
        <v>0.24837749630184028</v>
      </c>
      <c r="F42" s="15">
        <f t="shared" si="16"/>
        <v>0.3995822452301207</v>
      </c>
      <c r="G42" s="15">
        <f t="shared" si="16"/>
        <v>0.41896307591765614</v>
      </c>
      <c r="H42" s="15">
        <f t="shared" si="16"/>
        <v>0.34850562456473066</v>
      </c>
      <c r="I42" s="15">
        <f t="shared" si="16"/>
        <v>0.41210916440895246</v>
      </c>
      <c r="J42" s="15">
        <f t="shared" si="16"/>
        <v>0.3834411299840873</v>
      </c>
      <c r="K42" s="15">
        <f t="shared" si="16"/>
        <v>0.35948460686910583</v>
      </c>
      <c r="L42" s="15">
        <f t="shared" si="16"/>
        <v>0.33899286106125004</v>
      </c>
      <c r="M42" s="15">
        <f t="shared" si="16"/>
        <v>0</v>
      </c>
    </row>
    <row r="44" spans="1:13" x14ac:dyDescent="0.35">
      <c r="B44" t="s">
        <v>84</v>
      </c>
      <c r="C44" s="15">
        <f>IFERROR(IF(C38&gt;C41,1-C42,0),0)</f>
        <v>0.76132473002280432</v>
      </c>
      <c r="D44" s="15">
        <f t="shared" ref="D44:M44" si="17">IFERROR(IF(D38&gt;D41,1-D42,0),0)</f>
        <v>0.73899269079370566</v>
      </c>
      <c r="E44" s="15">
        <f t="shared" si="17"/>
        <v>0.75162250369815975</v>
      </c>
      <c r="F44" s="15">
        <f t="shared" si="17"/>
        <v>0.60041775476987924</v>
      </c>
      <c r="G44" s="15">
        <f t="shared" si="17"/>
        <v>0.58103692408234386</v>
      </c>
      <c r="H44" s="15">
        <f t="shared" si="17"/>
        <v>0.65149437543526934</v>
      </c>
      <c r="I44" s="15">
        <f t="shared" si="17"/>
        <v>0.58789083559104749</v>
      </c>
      <c r="J44" s="15">
        <f t="shared" si="17"/>
        <v>0.6165588700159127</v>
      </c>
      <c r="K44" s="15">
        <f t="shared" si="17"/>
        <v>0.64051539313089423</v>
      </c>
      <c r="L44" s="15">
        <f t="shared" si="17"/>
        <v>0.66100713893874996</v>
      </c>
      <c r="M44" s="15">
        <f t="shared" si="17"/>
        <v>1</v>
      </c>
    </row>
    <row r="46" spans="1:13" x14ac:dyDescent="0.35">
      <c r="A46" t="s">
        <v>58</v>
      </c>
      <c r="B46" s="16" t="s">
        <v>85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x14ac:dyDescent="0.35">
      <c r="B47" t="s">
        <v>11</v>
      </c>
      <c r="C47" s="22">
        <f>IFERROR('Data Sheet'!B57,0)</f>
        <v>1214.74</v>
      </c>
      <c r="D47" s="22">
        <f>IFERROR('Data Sheet'!C57,0)</f>
        <v>1220.43</v>
      </c>
      <c r="E47" s="22">
        <f>IFERROR('Data Sheet'!D57,0)</f>
        <v>1225.8599999999999</v>
      </c>
      <c r="F47" s="22">
        <f>IFERROR('Data Sheet'!E57,0)</f>
        <v>1229.22</v>
      </c>
      <c r="G47" s="22">
        <f>IFERROR('Data Sheet'!F57,0)</f>
        <v>1230.8800000000001</v>
      </c>
      <c r="H47" s="22">
        <f>IFERROR('Data Sheet'!G57,0)</f>
        <v>1232.33</v>
      </c>
      <c r="I47" s="22">
        <f>IFERROR('Data Sheet'!H57,0)</f>
        <v>1242.8</v>
      </c>
      <c r="J47" s="22">
        <f>IFERROR('Data Sheet'!I57,0)</f>
        <v>1248.47</v>
      </c>
      <c r="K47" s="22">
        <f>IFERROR('Data Sheet'!J57,0)</f>
        <v>1251.4100000000001</v>
      </c>
      <c r="L47" s="22">
        <f>IFERROR('Data Sheet'!K57,0)</f>
        <v>1252.95</v>
      </c>
    </row>
    <row r="48" spans="1:13" x14ac:dyDescent="0.35">
      <c r="B48" t="s">
        <v>12</v>
      </c>
      <c r="C48" s="22">
        <f>IFERROR('Data Sheet'!B58,0)</f>
        <v>45198.19</v>
      </c>
      <c r="D48" s="22">
        <f>IFERROR('Data Sheet'!C58,0)</f>
        <v>51289.68</v>
      </c>
      <c r="E48" s="22">
        <f>IFERROR('Data Sheet'!D58,0)</f>
        <v>57915.01</v>
      </c>
      <c r="F48" s="22">
        <f>IFERROR('Data Sheet'!E58,0)</f>
        <v>64044.04</v>
      </c>
      <c r="G48" s="22">
        <f>IFERROR('Data Sheet'!F58,0)</f>
        <v>59116.46</v>
      </c>
      <c r="H48" s="22">
        <f>IFERROR('Data Sheet'!G58,0)</f>
        <v>61223.24</v>
      </c>
      <c r="I48" s="22">
        <f>IFERROR('Data Sheet'!H58,0)</f>
        <v>67912.460000000006</v>
      </c>
      <c r="J48" s="22">
        <f>IFERROR('Data Sheet'!I58,0)</f>
        <v>73258.53</v>
      </c>
      <c r="K48" s="22">
        <f>IFERROR('Data Sheet'!J58,0)</f>
        <v>68778.64</v>
      </c>
      <c r="L48" s="22">
        <f>IFERROR('Data Sheet'!K58,0)</f>
        <v>71254.350000000006</v>
      </c>
    </row>
    <row r="49" spans="2:12" x14ac:dyDescent="0.35">
      <c r="B49" t="s">
        <v>37</v>
      </c>
      <c r="C49" s="22">
        <f>IFERROR('Data Sheet'!B59,0)</f>
        <v>45.72</v>
      </c>
      <c r="D49" s="22">
        <f>IFERROR('Data Sheet'!C59,0)</f>
        <v>35.92</v>
      </c>
      <c r="E49" s="22">
        <f>IFERROR('Data Sheet'!D59,0)</f>
        <v>13.44</v>
      </c>
      <c r="F49" s="22">
        <f>IFERROR('Data Sheet'!E59,0)</f>
        <v>277.45</v>
      </c>
      <c r="G49" s="22">
        <f>IFERROR('Data Sheet'!F59,0)</f>
        <v>270.83</v>
      </c>
      <c r="H49" s="22">
        <f>IFERROR('Data Sheet'!G59,0)</f>
        <v>249.44</v>
      </c>
      <c r="I49" s="22">
        <f>IFERROR('Data Sheet'!H59,0)</f>
        <v>306.04000000000002</v>
      </c>
      <c r="J49" s="22">
        <f>IFERROR('Data Sheet'!I59,0)</f>
        <v>303.43</v>
      </c>
      <c r="K49" s="22">
        <f>IFERROR('Data Sheet'!J59,0)</f>
        <v>284.54000000000002</v>
      </c>
      <c r="L49" s="22">
        <f>IFERROR('Data Sheet'!K59,0)</f>
        <v>2399.06</v>
      </c>
    </row>
    <row r="50" spans="2:12" x14ac:dyDescent="0.35">
      <c r="B50" t="s">
        <v>38</v>
      </c>
      <c r="C50" s="22">
        <f>IFERROR('Data Sheet'!B60,0)</f>
        <v>9439.67</v>
      </c>
      <c r="D50" s="22">
        <f>IFERROR('Data Sheet'!C60,0)</f>
        <v>11694.85</v>
      </c>
      <c r="E50" s="22">
        <f>IFERROR('Data Sheet'!D60,0)</f>
        <v>12584.73</v>
      </c>
      <c r="F50" s="22">
        <f>IFERROR('Data Sheet'!E60,0)</f>
        <v>11760.04</v>
      </c>
      <c r="G50" s="22">
        <f>IFERROR('Data Sheet'!F60,0)</f>
        <v>13142.59</v>
      </c>
      <c r="H50" s="22">
        <f>IFERROR('Data Sheet'!G60,0)</f>
        <v>14491.01</v>
      </c>
      <c r="I50" s="22">
        <f>IFERROR('Data Sheet'!H60,0)</f>
        <v>16369.66</v>
      </c>
      <c r="J50" s="22">
        <f>IFERROR('Data Sheet'!I60,0)</f>
        <v>16943.54</v>
      </c>
      <c r="K50" s="22">
        <f>IFERROR('Data Sheet'!J60,0)</f>
        <v>17688.11</v>
      </c>
      <c r="L50" s="22">
        <f>IFERROR('Data Sheet'!K60,0)</f>
        <v>18730.84</v>
      </c>
    </row>
    <row r="51" spans="2:12" s="2" customFormat="1" x14ac:dyDescent="0.35">
      <c r="B51" s="28" t="s">
        <v>86</v>
      </c>
      <c r="C51" s="29">
        <f>IFERROR('Data Sheet'!B61,0)</f>
        <v>55898.32</v>
      </c>
      <c r="D51" s="29">
        <f>IFERROR('Data Sheet'!C61,0)</f>
        <v>64240.88</v>
      </c>
      <c r="E51" s="29">
        <f>IFERROR('Data Sheet'!D61,0)</f>
        <v>71739.039999999994</v>
      </c>
      <c r="F51" s="29">
        <f>IFERROR('Data Sheet'!E61,0)</f>
        <v>77310.75</v>
      </c>
      <c r="G51" s="29">
        <f>IFERROR('Data Sheet'!F61,0)</f>
        <v>73760.759999999995</v>
      </c>
      <c r="H51" s="29">
        <f>IFERROR('Data Sheet'!G61,0)</f>
        <v>77196.02</v>
      </c>
      <c r="I51" s="29">
        <f>IFERROR('Data Sheet'!H61,0)</f>
        <v>85830.96</v>
      </c>
      <c r="J51" s="29">
        <f>IFERROR('Data Sheet'!I61,0)</f>
        <v>91753.97</v>
      </c>
      <c r="K51" s="29">
        <f>IFERROR('Data Sheet'!J61,0)</f>
        <v>88002.7</v>
      </c>
      <c r="L51" s="29">
        <f>IFERROR('Data Sheet'!K61,0)</f>
        <v>93637.2</v>
      </c>
    </row>
    <row r="53" spans="2:12" x14ac:dyDescent="0.35">
      <c r="B53" t="s">
        <v>87</v>
      </c>
      <c r="C53" s="22">
        <f>IFERROR('Data Sheet'!B62,0)</f>
        <v>15893.48</v>
      </c>
      <c r="D53" s="22">
        <f>IFERROR('Data Sheet'!C62,0)</f>
        <v>16523.96</v>
      </c>
      <c r="E53" s="22">
        <f>IFERROR('Data Sheet'!D62,0)</f>
        <v>19374.189999999999</v>
      </c>
      <c r="F53" s="22">
        <f>IFERROR('Data Sheet'!E62,0)</f>
        <v>21713.34</v>
      </c>
      <c r="G53" s="22">
        <f>IFERROR('Data Sheet'!F62,0)</f>
        <v>23298.48</v>
      </c>
      <c r="H53" s="22">
        <f>IFERROR('Data Sheet'!G62,0)</f>
        <v>24231.59</v>
      </c>
      <c r="I53" s="22">
        <f>IFERROR('Data Sheet'!H62,0)</f>
        <v>25851.27</v>
      </c>
      <c r="J53" s="22">
        <f>IFERROR('Data Sheet'!I62,0)</f>
        <v>27820.22</v>
      </c>
      <c r="K53" s="22">
        <f>IFERROR('Data Sheet'!J62,0)</f>
        <v>21954.85</v>
      </c>
      <c r="L53" s="22">
        <f>IFERROR('Data Sheet'!K62,0)</f>
        <v>22442.53</v>
      </c>
    </row>
    <row r="54" spans="2:12" x14ac:dyDescent="0.35">
      <c r="B54" t="s">
        <v>15</v>
      </c>
      <c r="C54" s="22">
        <f>IFERROR('Data Sheet'!B63,0)</f>
        <v>3729.89</v>
      </c>
      <c r="D54" s="22">
        <f>IFERROR('Data Sheet'!C63,0)</f>
        <v>5508.33</v>
      </c>
      <c r="E54" s="22">
        <f>IFERROR('Data Sheet'!D63,0)</f>
        <v>4136.42</v>
      </c>
      <c r="F54" s="22">
        <f>IFERROR('Data Sheet'!E63,0)</f>
        <v>3256.46</v>
      </c>
      <c r="G54" s="22">
        <f>IFERROR('Data Sheet'!F63,0)</f>
        <v>4011.29</v>
      </c>
      <c r="H54" s="22">
        <f>IFERROR('Data Sheet'!G63,0)</f>
        <v>3225.54</v>
      </c>
      <c r="I54" s="22">
        <f>IFERROR('Data Sheet'!H63,0)</f>
        <v>3003.3</v>
      </c>
      <c r="J54" s="22">
        <f>IFERROR('Data Sheet'!I63,0)</f>
        <v>2860.78</v>
      </c>
      <c r="K54" s="22">
        <f>IFERROR('Data Sheet'!J63,0)</f>
        <v>1090.9100000000001</v>
      </c>
      <c r="L54" s="22">
        <f>IFERROR('Data Sheet'!K63,0)</f>
        <v>1601.88</v>
      </c>
    </row>
    <row r="55" spans="2:12" x14ac:dyDescent="0.35">
      <c r="B55" t="s">
        <v>16</v>
      </c>
      <c r="C55" s="22">
        <f>IFERROR('Data Sheet'!B64,0)</f>
        <v>17581.38</v>
      </c>
      <c r="D55" s="22">
        <f>IFERROR('Data Sheet'!C64,0)</f>
        <v>22052.86</v>
      </c>
      <c r="E55" s="22">
        <f>IFERROR('Data Sheet'!D64,0)</f>
        <v>25043.49</v>
      </c>
      <c r="F55" s="22">
        <f>IFERROR('Data Sheet'!E64,0)</f>
        <v>28663.35</v>
      </c>
      <c r="G55" s="22">
        <f>IFERROR('Data Sheet'!F64,0)</f>
        <v>24870.87</v>
      </c>
      <c r="H55" s="22">
        <f>IFERROR('Data Sheet'!G64,0)</f>
        <v>24841.01</v>
      </c>
      <c r="I55" s="22">
        <f>IFERROR('Data Sheet'!H64,0)</f>
        <v>29415.02</v>
      </c>
      <c r="J55" s="22">
        <f>IFERROR('Data Sheet'!I64,0)</f>
        <v>31114.02</v>
      </c>
      <c r="K55" s="22">
        <f>IFERROR('Data Sheet'!J64,0)</f>
        <v>34719.82</v>
      </c>
      <c r="L55" s="22">
        <f>IFERROR('Data Sheet'!K64,0)</f>
        <v>38128.43</v>
      </c>
    </row>
    <row r="56" spans="2:12" x14ac:dyDescent="0.35">
      <c r="B56" t="s">
        <v>39</v>
      </c>
      <c r="C56" s="22">
        <f>IFERROR('Data Sheet'!B65-SUM('Data Sheet'!B67:B69),0)</f>
        <v>5135.7800000000007</v>
      </c>
      <c r="D56" s="22">
        <f>IFERROR('Data Sheet'!C65-SUM('Data Sheet'!C67:C69),0)</f>
        <v>7078.7499999999982</v>
      </c>
      <c r="E56" s="22">
        <f>IFERROR('Data Sheet'!D65-SUM('Data Sheet'!D67:D69),0)</f>
        <v>7138.07</v>
      </c>
      <c r="F56" s="22">
        <f>IFERROR('Data Sheet'!E65-SUM('Data Sheet'!E67:E69),0)</f>
        <v>4958.4499999999971</v>
      </c>
      <c r="G56" s="22">
        <f>IFERROR('Data Sheet'!F65-SUM('Data Sheet'!F67:F69),0)</f>
        <v>4022.239999999998</v>
      </c>
      <c r="H56" s="22">
        <f>IFERROR('Data Sheet'!G65-SUM('Data Sheet'!G67:G69),0)</f>
        <v>6917.41</v>
      </c>
      <c r="I56" s="22">
        <f>IFERROR('Data Sheet'!H65-SUM('Data Sheet'!H67:H69),0)</f>
        <v>7953.8499999999985</v>
      </c>
      <c r="J56" s="22">
        <f>IFERROR('Data Sheet'!I65-SUM('Data Sheet'!I67:I69),0)</f>
        <v>4562.57</v>
      </c>
      <c r="K56" s="22">
        <f>IFERROR('Data Sheet'!J65-SUM('Data Sheet'!J67:J69),0)</f>
        <v>5867.5299999999988</v>
      </c>
      <c r="L56" s="22">
        <f>IFERROR('Data Sheet'!K65-SUM('Data Sheet'!K67:K69),0)</f>
        <v>5909.75</v>
      </c>
    </row>
    <row r="57" spans="2:12" s="2" customFormat="1" x14ac:dyDescent="0.35">
      <c r="B57" s="28" t="s">
        <v>88</v>
      </c>
      <c r="C57" s="29">
        <f>IFERROR(SUM(C53:C56),0)</f>
        <v>42340.53</v>
      </c>
      <c r="D57" s="29">
        <f t="shared" ref="D57:L57" si="18">IFERROR(SUM(D53:D56),0)</f>
        <v>51163.9</v>
      </c>
      <c r="E57" s="29">
        <f t="shared" si="18"/>
        <v>55692.170000000006</v>
      </c>
      <c r="F57" s="29">
        <f t="shared" si="18"/>
        <v>58591.599999999991</v>
      </c>
      <c r="G57" s="29">
        <f t="shared" si="18"/>
        <v>56202.879999999997</v>
      </c>
      <c r="H57" s="29">
        <f t="shared" si="18"/>
        <v>59215.55</v>
      </c>
      <c r="I57" s="29">
        <f t="shared" si="18"/>
        <v>66223.44</v>
      </c>
      <c r="J57" s="29">
        <f t="shared" si="18"/>
        <v>66357.59</v>
      </c>
      <c r="K57" s="29">
        <f t="shared" si="18"/>
        <v>63633.11</v>
      </c>
      <c r="L57" s="29">
        <f t="shared" si="18"/>
        <v>68082.59</v>
      </c>
    </row>
    <row r="59" spans="2:12" x14ac:dyDescent="0.35">
      <c r="B59" t="s">
        <v>44</v>
      </c>
      <c r="C59" s="22">
        <f>IFERROR('Data Sheet'!B67,0)</f>
        <v>2474.29</v>
      </c>
      <c r="D59" s="22">
        <f>IFERROR('Data Sheet'!C67,0)</f>
        <v>2682.29</v>
      </c>
      <c r="E59" s="22">
        <f>IFERROR('Data Sheet'!D67,0)</f>
        <v>4035.28</v>
      </c>
      <c r="F59" s="22">
        <f>IFERROR('Data Sheet'!E67,0)</f>
        <v>2562.48</v>
      </c>
      <c r="G59" s="22">
        <f>IFERROR('Data Sheet'!F67,0)</f>
        <v>2501.6999999999998</v>
      </c>
      <c r="H59" s="22">
        <f>IFERROR('Data Sheet'!G67,0)</f>
        <v>2461.9</v>
      </c>
      <c r="I59" s="22">
        <f>IFERROR('Data Sheet'!H67,0)</f>
        <v>2956.17</v>
      </c>
      <c r="J59" s="22">
        <f>IFERROR('Data Sheet'!I67,0)</f>
        <v>4025.82</v>
      </c>
      <c r="K59" s="22">
        <f>IFERROR('Data Sheet'!J67,0)</f>
        <v>4719.67</v>
      </c>
      <c r="L59" s="22">
        <f>IFERROR('Data Sheet'!K67,0)</f>
        <v>3922.86</v>
      </c>
    </row>
    <row r="60" spans="2:12" x14ac:dyDescent="0.35">
      <c r="B60" t="s">
        <v>30</v>
      </c>
      <c r="C60" s="22">
        <f>IFERROR('Data Sheet'!B68,0)</f>
        <v>8116.1</v>
      </c>
      <c r="D60" s="22">
        <f>IFERROR('Data Sheet'!C68,0)</f>
        <v>7495.09</v>
      </c>
      <c r="E60" s="22">
        <f>IFERROR('Data Sheet'!D68,0)</f>
        <v>7859.56</v>
      </c>
      <c r="F60" s="22">
        <f>IFERROR('Data Sheet'!E68,0)</f>
        <v>8879.33</v>
      </c>
      <c r="G60" s="22">
        <f>IFERROR('Data Sheet'!F68,0)</f>
        <v>10397.16</v>
      </c>
      <c r="H60" s="22">
        <f>IFERROR('Data Sheet'!G68,0)</f>
        <v>10864.15</v>
      </c>
      <c r="I60" s="22">
        <f>IFERROR('Data Sheet'!H68,0)</f>
        <v>11771.16</v>
      </c>
      <c r="J60" s="22">
        <f>IFERROR('Data Sheet'!I68,0)</f>
        <v>14152.88</v>
      </c>
      <c r="K60" s="22">
        <f>IFERROR('Data Sheet'!J68,0)</f>
        <v>15637.56</v>
      </c>
      <c r="L60" s="22">
        <f>IFERROR('Data Sheet'!K68,0)</f>
        <v>18622.96</v>
      </c>
    </row>
    <row r="61" spans="2:12" x14ac:dyDescent="0.35">
      <c r="B61" t="s">
        <v>53</v>
      </c>
      <c r="C61" s="22">
        <f>IFERROR('Data Sheet'!B69,0)</f>
        <v>2967.4</v>
      </c>
      <c r="D61" s="22">
        <f>IFERROR('Data Sheet'!C69,0)</f>
        <v>2899.6</v>
      </c>
      <c r="E61" s="22">
        <f>IFERROR('Data Sheet'!D69,0)</f>
        <v>4152.03</v>
      </c>
      <c r="F61" s="22">
        <f>IFERROR('Data Sheet'!E69,0)</f>
        <v>7277.34</v>
      </c>
      <c r="G61" s="22">
        <f>IFERROR('Data Sheet'!F69,0)</f>
        <v>4659.0200000000004</v>
      </c>
      <c r="H61" s="22">
        <f>IFERROR('Data Sheet'!G69,0)</f>
        <v>4654.42</v>
      </c>
      <c r="I61" s="22">
        <f>IFERROR('Data Sheet'!H69,0)</f>
        <v>4880.1899999999996</v>
      </c>
      <c r="J61" s="22">
        <f>IFERROR('Data Sheet'!I69,0)</f>
        <v>7217.68</v>
      </c>
      <c r="K61" s="22">
        <f>IFERROR('Data Sheet'!J69,0)</f>
        <v>4012.36</v>
      </c>
      <c r="L61" s="22">
        <f>IFERROR('Data Sheet'!K69,0)</f>
        <v>3008.79</v>
      </c>
    </row>
    <row r="62" spans="2:12" x14ac:dyDescent="0.35">
      <c r="B62" s="28" t="s">
        <v>89</v>
      </c>
      <c r="C62" s="29">
        <f>IFERROR(SUM(C59:C61),0)</f>
        <v>13557.789999999999</v>
      </c>
      <c r="D62" s="29">
        <f t="shared" ref="D62:L62" si="19">IFERROR(SUM(D59:D61),0)</f>
        <v>13076.980000000001</v>
      </c>
      <c r="E62" s="29">
        <f t="shared" si="19"/>
        <v>16046.869999999999</v>
      </c>
      <c r="F62" s="29">
        <f t="shared" si="19"/>
        <v>18719.150000000001</v>
      </c>
      <c r="G62" s="29">
        <f t="shared" si="19"/>
        <v>17557.88</v>
      </c>
      <c r="H62" s="29">
        <f t="shared" si="19"/>
        <v>17980.47</v>
      </c>
      <c r="I62" s="29">
        <f t="shared" si="19"/>
        <v>19607.52</v>
      </c>
      <c r="J62" s="29">
        <f t="shared" si="19"/>
        <v>25396.38</v>
      </c>
      <c r="K62" s="29">
        <f t="shared" si="19"/>
        <v>24369.59</v>
      </c>
      <c r="L62" s="29">
        <f t="shared" si="19"/>
        <v>25554.61</v>
      </c>
    </row>
    <row r="64" spans="2:12" s="2" customFormat="1" x14ac:dyDescent="0.35">
      <c r="B64" s="28" t="s">
        <v>90</v>
      </c>
      <c r="C64" s="29">
        <f>IFERROR((C62+C57),0)</f>
        <v>55898.32</v>
      </c>
      <c r="D64" s="29">
        <f t="shared" ref="D64:L64" si="20">IFERROR((D62+D57),0)</f>
        <v>64240.880000000005</v>
      </c>
      <c r="E64" s="29">
        <f t="shared" si="20"/>
        <v>71739.040000000008</v>
      </c>
      <c r="F64" s="29">
        <f t="shared" si="20"/>
        <v>77310.75</v>
      </c>
      <c r="G64" s="29">
        <f t="shared" si="20"/>
        <v>73760.759999999995</v>
      </c>
      <c r="H64" s="29">
        <f t="shared" si="20"/>
        <v>77196.02</v>
      </c>
      <c r="I64" s="29">
        <f t="shared" si="20"/>
        <v>85830.96</v>
      </c>
      <c r="J64" s="29">
        <f t="shared" si="20"/>
        <v>91753.97</v>
      </c>
      <c r="K64" s="29">
        <f t="shared" si="20"/>
        <v>88002.7</v>
      </c>
      <c r="L64" s="29">
        <f t="shared" si="20"/>
        <v>93637.2</v>
      </c>
    </row>
    <row r="66" spans="1:13" x14ac:dyDescent="0.35">
      <c r="B66" s="2" t="s">
        <v>91</v>
      </c>
      <c r="C66" t="b">
        <f>C64=C51</f>
        <v>1</v>
      </c>
      <c r="D66" t="b">
        <f t="shared" ref="D66:L66" si="21">D64=D51</f>
        <v>1</v>
      </c>
      <c r="E66" t="b">
        <f t="shared" si="21"/>
        <v>1</v>
      </c>
      <c r="F66" t="b">
        <f t="shared" si="21"/>
        <v>1</v>
      </c>
      <c r="G66" t="b">
        <f t="shared" si="21"/>
        <v>1</v>
      </c>
      <c r="H66" t="b">
        <f t="shared" si="21"/>
        <v>1</v>
      </c>
      <c r="I66" t="b">
        <f t="shared" si="21"/>
        <v>1</v>
      </c>
      <c r="J66" t="b">
        <f t="shared" si="21"/>
        <v>1</v>
      </c>
      <c r="K66" t="b">
        <f t="shared" si="21"/>
        <v>1</v>
      </c>
      <c r="L66" t="b">
        <f t="shared" si="21"/>
        <v>1</v>
      </c>
    </row>
    <row r="68" spans="1:13" x14ac:dyDescent="0.35">
      <c r="A68" t="s">
        <v>58</v>
      </c>
      <c r="B68" s="16" t="s">
        <v>121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x14ac:dyDescent="0.35">
      <c r="B69" s="2" t="s">
        <v>122</v>
      </c>
    </row>
    <row r="70" spans="1:13" x14ac:dyDescent="0.35">
      <c r="B70" t="s">
        <v>92</v>
      </c>
      <c r="C70" s="22">
        <f>IFERROR('Cash Flow Data'!E4,0)</f>
        <v>462</v>
      </c>
      <c r="D70" s="22">
        <f>IFERROR('Cash Flow Data'!F4,0)</f>
        <v>402</v>
      </c>
      <c r="E70" s="22">
        <f>IFERROR('Cash Flow Data'!G4,0)</f>
        <v>329</v>
      </c>
      <c r="F70" s="22">
        <f>IFERROR('Cash Flow Data'!H4,0)</f>
        <v>343</v>
      </c>
      <c r="G70" s="22">
        <f>IFERROR('Cash Flow Data'!I4,0)</f>
        <v>458</v>
      </c>
      <c r="H70" s="22">
        <f>IFERROR('Cash Flow Data'!J4,0)</f>
        <v>679</v>
      </c>
      <c r="I70" s="22">
        <f>IFERROR('Cash Flow Data'!K4,0)</f>
        <v>758</v>
      </c>
      <c r="J70" s="22">
        <f>IFERROR('Cash Flow Data'!L4,0)</f>
        <v>826</v>
      </c>
      <c r="K70" s="22">
        <f>IFERROR('Cash Flow Data'!M4,0)</f>
        <v>901</v>
      </c>
      <c r="L70" s="22">
        <f>IFERROR('Cash Flow Data'!N4,0)</f>
        <v>1198</v>
      </c>
    </row>
    <row r="71" spans="1:13" x14ac:dyDescent="0.35">
      <c r="B71" t="s">
        <v>44</v>
      </c>
      <c r="C71" s="22">
        <f>IFERROR('Cash Flow Data'!E5,0)</f>
        <v>-33</v>
      </c>
      <c r="D71" s="22">
        <f>IFERROR('Cash Flow Data'!F5,0)</f>
        <v>-15</v>
      </c>
      <c r="E71" s="22">
        <f>IFERROR('Cash Flow Data'!G5,0)</f>
        <v>-15</v>
      </c>
      <c r="F71" s="22">
        <f>IFERROR('Cash Flow Data'!H5,0)</f>
        <v>10</v>
      </c>
      <c r="G71" s="22">
        <f>IFERROR('Cash Flow Data'!I5,0)</f>
        <v>-30</v>
      </c>
      <c r="H71" s="22">
        <f>IFERROR('Cash Flow Data'!J5,0)</f>
        <v>-37</v>
      </c>
      <c r="I71" s="22">
        <f>IFERROR('Cash Flow Data'!K5,0)</f>
        <v>-112</v>
      </c>
      <c r="J71" s="22">
        <f>IFERROR('Cash Flow Data'!L5,0)</f>
        <v>-55</v>
      </c>
      <c r="K71" s="22">
        <f>IFERROR('Cash Flow Data'!M5,0)</f>
        <v>-93</v>
      </c>
      <c r="L71" s="22">
        <f>IFERROR('Cash Flow Data'!N5,0)</f>
        <v>-237</v>
      </c>
    </row>
    <row r="72" spans="1:13" x14ac:dyDescent="0.35">
      <c r="B72" t="s">
        <v>30</v>
      </c>
      <c r="C72" s="22">
        <f>IFERROR('Cash Flow Data'!E6,0)</f>
        <v>0</v>
      </c>
      <c r="D72" s="22">
        <f>IFERROR('Cash Flow Data'!F6,0)</f>
        <v>0</v>
      </c>
      <c r="E72" s="22">
        <f>IFERROR('Cash Flow Data'!G6,0)</f>
        <v>0</v>
      </c>
      <c r="F72" s="22">
        <f>IFERROR('Cash Flow Data'!H6,0)</f>
        <v>0</v>
      </c>
      <c r="G72" s="22">
        <f>IFERROR('Cash Flow Data'!I6,0)</f>
        <v>0</v>
      </c>
      <c r="H72" s="22">
        <f>IFERROR('Cash Flow Data'!J6,0)</f>
        <v>0</v>
      </c>
      <c r="I72" s="22">
        <f>IFERROR('Cash Flow Data'!K6,0)</f>
        <v>0</v>
      </c>
      <c r="J72" s="22">
        <f>IFERROR('Cash Flow Data'!L6,0)</f>
        <v>0</v>
      </c>
      <c r="K72" s="22">
        <f>IFERROR('Cash Flow Data'!M6,0)</f>
        <v>0</v>
      </c>
      <c r="L72" s="22">
        <f>IFERROR('Cash Flow Data'!N6,0)</f>
        <v>0</v>
      </c>
    </row>
    <row r="73" spans="1:13" x14ac:dyDescent="0.35">
      <c r="B73" t="s">
        <v>93</v>
      </c>
      <c r="C73" s="22">
        <f>IFERROR('Cash Flow Data'!E7,0)</f>
        <v>-12</v>
      </c>
      <c r="D73" s="22">
        <f>IFERROR('Cash Flow Data'!F7,0)</f>
        <v>18</v>
      </c>
      <c r="E73" s="22">
        <f>IFERROR('Cash Flow Data'!G7,0)</f>
        <v>-3</v>
      </c>
      <c r="F73" s="22">
        <f>IFERROR('Cash Flow Data'!H7,0)</f>
        <v>0</v>
      </c>
      <c r="G73" s="22">
        <f>IFERROR('Cash Flow Data'!I7,0)</f>
        <v>7</v>
      </c>
      <c r="H73" s="22">
        <f>IFERROR('Cash Flow Data'!J7,0)</f>
        <v>15</v>
      </c>
      <c r="I73" s="22">
        <f>IFERROR('Cash Flow Data'!K7,0)</f>
        <v>20</v>
      </c>
      <c r="J73" s="22">
        <f>IFERROR('Cash Flow Data'!L7,0)</f>
        <v>11</v>
      </c>
      <c r="K73" s="22">
        <f>IFERROR('Cash Flow Data'!M7,0)</f>
        <v>21</v>
      </c>
      <c r="L73" s="22">
        <f>IFERROR('Cash Flow Data'!N7,0)</f>
        <v>53</v>
      </c>
    </row>
    <row r="74" spans="1:13" x14ac:dyDescent="0.35">
      <c r="B74" t="s">
        <v>94</v>
      </c>
      <c r="C74" s="22">
        <f>IFERROR('Cash Flow Data'!E8,0)</f>
        <v>0</v>
      </c>
      <c r="D74" s="22">
        <f>IFERROR('Cash Flow Data'!F8,0)</f>
        <v>0</v>
      </c>
      <c r="E74" s="22">
        <f>IFERROR('Cash Flow Data'!G8,0)</f>
        <v>0</v>
      </c>
      <c r="F74" s="22">
        <f>IFERROR('Cash Flow Data'!H8,0)</f>
        <v>0</v>
      </c>
      <c r="G74" s="22">
        <f>IFERROR('Cash Flow Data'!I8,0)</f>
        <v>0</v>
      </c>
      <c r="H74" s="22">
        <f>IFERROR('Cash Flow Data'!J8,0)</f>
        <v>0</v>
      </c>
      <c r="I74" s="22">
        <f>IFERROR('Cash Flow Data'!K8,0)</f>
        <v>0</v>
      </c>
      <c r="J74" s="22">
        <f>IFERROR('Cash Flow Data'!L8,0)</f>
        <v>0</v>
      </c>
      <c r="K74" s="22">
        <f>IFERROR('Cash Flow Data'!M8,0)</f>
        <v>0</v>
      </c>
      <c r="L74" s="22">
        <f>IFERROR('Cash Flow Data'!N8,0)</f>
        <v>0</v>
      </c>
    </row>
    <row r="75" spans="1:13" x14ac:dyDescent="0.35">
      <c r="B75" t="s">
        <v>95</v>
      </c>
      <c r="C75" s="22">
        <f>IFERROR('Cash Flow Data'!E9,0)</f>
        <v>-3</v>
      </c>
      <c r="D75" s="22">
        <f>IFERROR('Cash Flow Data'!F9,0)</f>
        <v>-6</v>
      </c>
      <c r="E75" s="22">
        <f>IFERROR('Cash Flow Data'!G9,0)</f>
        <v>-12</v>
      </c>
      <c r="F75" s="22">
        <f>IFERROR('Cash Flow Data'!H9,0)</f>
        <v>39</v>
      </c>
      <c r="G75" s="22">
        <f>IFERROR('Cash Flow Data'!I9,0)</f>
        <v>31</v>
      </c>
      <c r="H75" s="22">
        <f>IFERROR('Cash Flow Data'!J9,0)</f>
        <v>-48</v>
      </c>
      <c r="I75" s="22">
        <f>IFERROR('Cash Flow Data'!K9,0)</f>
        <v>5</v>
      </c>
      <c r="J75" s="22">
        <f>IFERROR('Cash Flow Data'!L9,0)</f>
        <v>-84</v>
      </c>
      <c r="K75" s="22">
        <f>IFERROR('Cash Flow Data'!M9,0)</f>
        <v>-11</v>
      </c>
      <c r="L75" s="22">
        <f>IFERROR('Cash Flow Data'!N9,0)</f>
        <v>85</v>
      </c>
    </row>
    <row r="76" spans="1:13" x14ac:dyDescent="0.35">
      <c r="B76" t="s">
        <v>96</v>
      </c>
      <c r="C76" s="22">
        <f>IFERROR('Cash Flow Data'!E10,0)</f>
        <v>-47</v>
      </c>
      <c r="D76" s="22">
        <f>IFERROR('Cash Flow Data'!F10,0)</f>
        <v>-3</v>
      </c>
      <c r="E76" s="22">
        <f>IFERROR('Cash Flow Data'!G10,0)</f>
        <v>-30</v>
      </c>
      <c r="F76" s="22">
        <f>IFERROR('Cash Flow Data'!H10,0)</f>
        <v>49</v>
      </c>
      <c r="G76" s="22">
        <f>IFERROR('Cash Flow Data'!I10,0)</f>
        <v>7</v>
      </c>
      <c r="H76" s="22">
        <f>IFERROR('Cash Flow Data'!J10,0)</f>
        <v>-70</v>
      </c>
      <c r="I76" s="22">
        <f>IFERROR('Cash Flow Data'!K10,0)</f>
        <v>-87</v>
      </c>
      <c r="J76" s="22">
        <f>IFERROR('Cash Flow Data'!L10,0)</f>
        <v>-128</v>
      </c>
      <c r="K76" s="22">
        <f>IFERROR('Cash Flow Data'!M10,0)</f>
        <v>-82</v>
      </c>
      <c r="L76" s="22">
        <f>IFERROR('Cash Flow Data'!N10,0)</f>
        <v>-99</v>
      </c>
    </row>
    <row r="77" spans="1:13" x14ac:dyDescent="0.35">
      <c r="B77" t="s">
        <v>97</v>
      </c>
      <c r="C77" s="22">
        <f>IFERROR('Cash Flow Data'!E11,0)</f>
        <v>0</v>
      </c>
      <c r="D77" s="22">
        <f>IFERROR('Cash Flow Data'!F11,0)</f>
        <v>0</v>
      </c>
      <c r="E77" s="22">
        <f>IFERROR('Cash Flow Data'!G11,0)</f>
        <v>0</v>
      </c>
      <c r="F77" s="22">
        <f>IFERROR('Cash Flow Data'!H11,0)</f>
        <v>0</v>
      </c>
      <c r="G77" s="22">
        <f>IFERROR('Cash Flow Data'!I11,0)</f>
        <v>0</v>
      </c>
      <c r="H77" s="22">
        <f>IFERROR('Cash Flow Data'!J11,0)</f>
        <v>-164</v>
      </c>
      <c r="I77" s="22">
        <f>IFERROR('Cash Flow Data'!K11,0)</f>
        <v>-178</v>
      </c>
      <c r="J77" s="22">
        <f>IFERROR('Cash Flow Data'!L11,0)</f>
        <v>-172</v>
      </c>
      <c r="K77" s="22">
        <f>IFERROR('Cash Flow Data'!M11,0)</f>
        <v>-164</v>
      </c>
      <c r="L77" s="22">
        <f>IFERROR('Cash Flow Data'!N11,0)</f>
        <v>-225</v>
      </c>
    </row>
    <row r="78" spans="1:13" x14ac:dyDescent="0.35">
      <c r="B78" t="s">
        <v>98</v>
      </c>
      <c r="C78" s="22">
        <f>IFERROR('Cash Flow Data'!E12,0)</f>
        <v>-103</v>
      </c>
      <c r="D78" s="22">
        <f>IFERROR('Cash Flow Data'!F12,0)</f>
        <v>-95</v>
      </c>
      <c r="E78" s="22">
        <f>IFERROR('Cash Flow Data'!G12,0)</f>
        <v>-93</v>
      </c>
      <c r="F78" s="22">
        <f>IFERROR('Cash Flow Data'!H12,0)</f>
        <v>-59</v>
      </c>
      <c r="G78" s="22">
        <f>IFERROR('Cash Flow Data'!I12,0)</f>
        <v>-100</v>
      </c>
      <c r="H78" s="22">
        <f>IFERROR('Cash Flow Data'!J12,0)</f>
        <v>0</v>
      </c>
      <c r="I78" s="22">
        <f>IFERROR('Cash Flow Data'!K12,0)</f>
        <v>0</v>
      </c>
      <c r="J78" s="22">
        <f>IFERROR('Cash Flow Data'!L12,0)</f>
        <v>0</v>
      </c>
      <c r="K78" s="22">
        <f>IFERROR('Cash Flow Data'!M12,0)</f>
        <v>0</v>
      </c>
      <c r="L78" s="22">
        <f>IFERROR('Cash Flow Data'!N12,0)</f>
        <v>0</v>
      </c>
    </row>
    <row r="79" spans="1:13" x14ac:dyDescent="0.35">
      <c r="B79" s="2" t="s">
        <v>123</v>
      </c>
      <c r="C79" s="24">
        <f>IFERROR(SUM(C70,C76,C77,C78),0)</f>
        <v>312</v>
      </c>
      <c r="D79" s="24">
        <f t="shared" ref="D79:L79" si="22">IFERROR(SUM(D70,D76,D77,D78),0)</f>
        <v>304</v>
      </c>
      <c r="E79" s="24">
        <f t="shared" si="22"/>
        <v>206</v>
      </c>
      <c r="F79" s="24">
        <f t="shared" si="22"/>
        <v>333</v>
      </c>
      <c r="G79" s="24">
        <f t="shared" si="22"/>
        <v>365</v>
      </c>
      <c r="H79" s="24">
        <f t="shared" si="22"/>
        <v>445</v>
      </c>
      <c r="I79" s="24">
        <f t="shared" si="22"/>
        <v>493</v>
      </c>
      <c r="J79" s="24">
        <f t="shared" si="22"/>
        <v>526</v>
      </c>
      <c r="K79" s="24">
        <f t="shared" si="22"/>
        <v>655</v>
      </c>
      <c r="L79" s="24">
        <f t="shared" si="22"/>
        <v>874</v>
      </c>
    </row>
    <row r="81" spans="2:12" x14ac:dyDescent="0.35">
      <c r="B81" s="2" t="s">
        <v>124</v>
      </c>
    </row>
    <row r="82" spans="2:12" x14ac:dyDescent="0.35">
      <c r="B82" t="s">
        <v>99</v>
      </c>
      <c r="C82" s="22">
        <f>IFERROR('Cash Flow Data'!E14,0)</f>
        <v>-30</v>
      </c>
      <c r="D82" s="22">
        <f>IFERROR('Cash Flow Data'!F14,0)</f>
        <v>-42</v>
      </c>
      <c r="E82" s="22">
        <f>IFERROR('Cash Flow Data'!G14,0)</f>
        <v>-52</v>
      </c>
      <c r="F82" s="22">
        <f>IFERROR('Cash Flow Data'!H14,0)</f>
        <v>-34</v>
      </c>
      <c r="G82" s="22">
        <f>IFERROR('Cash Flow Data'!I14,0)</f>
        <v>-39</v>
      </c>
      <c r="H82" s="22">
        <f>IFERROR('Cash Flow Data'!J14,0)</f>
        <v>-61</v>
      </c>
      <c r="I82" s="22">
        <f>IFERROR('Cash Flow Data'!K14,0)</f>
        <v>-91</v>
      </c>
      <c r="J82" s="22">
        <f>IFERROR('Cash Flow Data'!L14,0)</f>
        <v>-67</v>
      </c>
      <c r="K82" s="22">
        <f>IFERROR('Cash Flow Data'!M14,0)</f>
        <v>-121</v>
      </c>
      <c r="L82" s="22">
        <f>IFERROR('Cash Flow Data'!N14,0)</f>
        <v>-119</v>
      </c>
    </row>
    <row r="83" spans="2:12" x14ac:dyDescent="0.35">
      <c r="B83" t="s">
        <v>100</v>
      </c>
      <c r="C83" s="22">
        <f>IFERROR('Cash Flow Data'!E15,0)</f>
        <v>0</v>
      </c>
      <c r="D83" s="22">
        <f>IFERROR('Cash Flow Data'!F15,0)</f>
        <v>0</v>
      </c>
      <c r="E83" s="22">
        <f>IFERROR('Cash Flow Data'!G15,0)</f>
        <v>0</v>
      </c>
      <c r="F83" s="22">
        <f>IFERROR('Cash Flow Data'!H15,0)</f>
        <v>1</v>
      </c>
      <c r="G83" s="22">
        <f>IFERROR('Cash Flow Data'!I15,0)</f>
        <v>0</v>
      </c>
      <c r="H83" s="22">
        <f>IFERROR('Cash Flow Data'!J15,0)</f>
        <v>0</v>
      </c>
      <c r="I83" s="22">
        <f>IFERROR('Cash Flow Data'!K15,0)</f>
        <v>1</v>
      </c>
      <c r="J83" s="22">
        <f>IFERROR('Cash Flow Data'!L15,0)</f>
        <v>3</v>
      </c>
      <c r="K83" s="22">
        <f>IFERROR('Cash Flow Data'!M15,0)</f>
        <v>6</v>
      </c>
      <c r="L83" s="22">
        <f>IFERROR('Cash Flow Data'!N15,0)</f>
        <v>1</v>
      </c>
    </row>
    <row r="84" spans="2:12" x14ac:dyDescent="0.35">
      <c r="B84" t="s">
        <v>101</v>
      </c>
      <c r="C84" s="22">
        <f>IFERROR('Cash Flow Data'!E16,0)</f>
        <v>-803</v>
      </c>
      <c r="D84" s="22">
        <f>IFERROR('Cash Flow Data'!F16,0)</f>
        <v>-844</v>
      </c>
      <c r="E84" s="22">
        <f>IFERROR('Cash Flow Data'!G16,0)</f>
        <v>-1363</v>
      </c>
      <c r="F84" s="22">
        <f>IFERROR('Cash Flow Data'!H16,0)</f>
        <v>-1196</v>
      </c>
      <c r="G84" s="22">
        <f>IFERROR('Cash Flow Data'!I16,0)</f>
        <v>-919</v>
      </c>
      <c r="H84" s="22">
        <f>IFERROR('Cash Flow Data'!J16,0)</f>
        <v>-1158</v>
      </c>
      <c r="I84" s="22">
        <f>IFERROR('Cash Flow Data'!K16,0)</f>
        <v>-1612</v>
      </c>
      <c r="J84" s="22">
        <f>IFERROR('Cash Flow Data'!L16,0)</f>
        <v>-1662</v>
      </c>
      <c r="K84" s="22">
        <f>IFERROR('Cash Flow Data'!M16,0)</f>
        <v>-2043</v>
      </c>
      <c r="L84" s="22">
        <f>IFERROR('Cash Flow Data'!N16,0)</f>
        <v>-2187</v>
      </c>
    </row>
    <row r="85" spans="2:12" x14ac:dyDescent="0.35">
      <c r="B85" t="s">
        <v>102</v>
      </c>
      <c r="C85" s="22">
        <f>IFERROR('Cash Flow Data'!E17,0)</f>
        <v>773</v>
      </c>
      <c r="D85" s="22">
        <f>IFERROR('Cash Flow Data'!F17,0)</f>
        <v>930</v>
      </c>
      <c r="E85" s="22">
        <f>IFERROR('Cash Flow Data'!G17,0)</f>
        <v>1242</v>
      </c>
      <c r="F85" s="22">
        <f>IFERROR('Cash Flow Data'!H17,0)</f>
        <v>1059</v>
      </c>
      <c r="G85" s="22">
        <f>IFERROR('Cash Flow Data'!I17,0)</f>
        <v>1143</v>
      </c>
      <c r="H85" s="22">
        <f>IFERROR('Cash Flow Data'!J17,0)</f>
        <v>1197</v>
      </c>
      <c r="I85" s="22">
        <f>IFERROR('Cash Flow Data'!K17,0)</f>
        <v>1548</v>
      </c>
      <c r="J85" s="22">
        <f>IFERROR('Cash Flow Data'!L17,0)</f>
        <v>1546</v>
      </c>
      <c r="K85" s="22">
        <f>IFERROR('Cash Flow Data'!M17,0)</f>
        <v>2155</v>
      </c>
      <c r="L85" s="22">
        <f>IFERROR('Cash Flow Data'!N17,0)</f>
        <v>2198</v>
      </c>
    </row>
    <row r="86" spans="2:12" x14ac:dyDescent="0.35">
      <c r="B86" t="s">
        <v>103</v>
      </c>
      <c r="C86" s="22">
        <f>IFERROR('Cash Flow Data'!E18,0)</f>
        <v>7</v>
      </c>
      <c r="D86" s="22">
        <f>IFERROR('Cash Flow Data'!F18,0)</f>
        <v>14</v>
      </c>
      <c r="E86" s="22">
        <f>IFERROR('Cash Flow Data'!G18,0)</f>
        <v>19</v>
      </c>
      <c r="F86" s="22">
        <f>IFERROR('Cash Flow Data'!H18,0)</f>
        <v>21</v>
      </c>
      <c r="G86" s="22">
        <f>IFERROR('Cash Flow Data'!I18,0)</f>
        <v>13</v>
      </c>
      <c r="H86" s="22">
        <f>IFERROR('Cash Flow Data'!J18,0)</f>
        <v>4</v>
      </c>
      <c r="I86" s="22">
        <f>IFERROR('Cash Flow Data'!K18,0)</f>
        <v>6</v>
      </c>
      <c r="J86" s="22">
        <f>IFERROR('Cash Flow Data'!L18,0)</f>
        <v>21</v>
      </c>
      <c r="K86" s="22">
        <f>IFERROR('Cash Flow Data'!M18,0)</f>
        <v>25</v>
      </c>
      <c r="L86" s="22">
        <f>IFERROR('Cash Flow Data'!N18,0)</f>
        <v>30</v>
      </c>
    </row>
    <row r="87" spans="2:12" x14ac:dyDescent="0.35">
      <c r="B87" t="s">
        <v>104</v>
      </c>
      <c r="C87" s="22">
        <f>IFERROR('Cash Flow Data'!E19,0)</f>
        <v>13</v>
      </c>
      <c r="D87" s="22">
        <f>IFERROR('Cash Flow Data'!F19,0)</f>
        <v>15</v>
      </c>
      <c r="E87" s="22">
        <f>IFERROR('Cash Flow Data'!G19,0)</f>
        <v>10</v>
      </c>
      <c r="F87" s="22">
        <f>IFERROR('Cash Flow Data'!H19,0)</f>
        <v>7</v>
      </c>
      <c r="G87" s="22">
        <f>IFERROR('Cash Flow Data'!I19,0)</f>
        <v>0</v>
      </c>
      <c r="H87" s="22">
        <f>IFERROR('Cash Flow Data'!J19,0)</f>
        <v>0</v>
      </c>
      <c r="I87" s="22">
        <f>IFERROR('Cash Flow Data'!K19,0)</f>
        <v>0</v>
      </c>
      <c r="J87" s="22">
        <f>IFERROR('Cash Flow Data'!L19,0)</f>
        <v>0</v>
      </c>
      <c r="K87" s="22">
        <f>IFERROR('Cash Flow Data'!M19,0)</f>
        <v>2</v>
      </c>
      <c r="L87" s="22">
        <f>IFERROR('Cash Flow Data'!N19,0)</f>
        <v>3</v>
      </c>
    </row>
    <row r="88" spans="2:12" x14ac:dyDescent="0.35">
      <c r="B88" t="s">
        <v>105</v>
      </c>
      <c r="C88" s="22">
        <f>IFERROR('Cash Flow Data'!E20,0)</f>
        <v>0</v>
      </c>
      <c r="D88" s="22">
        <f>IFERROR('Cash Flow Data'!F20,0)</f>
        <v>0</v>
      </c>
      <c r="E88" s="22">
        <f>IFERROR('Cash Flow Data'!G20,0)</f>
        <v>0</v>
      </c>
      <c r="F88" s="22">
        <f>IFERROR('Cash Flow Data'!H20,0)</f>
        <v>0</v>
      </c>
      <c r="G88" s="22">
        <f>IFERROR('Cash Flow Data'!I20,0)</f>
        <v>0</v>
      </c>
      <c r="H88" s="22">
        <f>IFERROR('Cash Flow Data'!J20,0)</f>
        <v>0</v>
      </c>
      <c r="I88" s="22">
        <f>IFERROR('Cash Flow Data'!K20,0)</f>
        <v>0</v>
      </c>
      <c r="J88" s="22">
        <f>IFERROR('Cash Flow Data'!L20,0)</f>
        <v>0</v>
      </c>
      <c r="K88" s="22">
        <f>IFERROR('Cash Flow Data'!M20,0)</f>
        <v>0</v>
      </c>
      <c r="L88" s="22">
        <f>IFERROR('Cash Flow Data'!N20,0)</f>
        <v>0</v>
      </c>
    </row>
    <row r="89" spans="2:12" x14ac:dyDescent="0.35">
      <c r="B89" t="s">
        <v>106</v>
      </c>
      <c r="C89" s="22">
        <f>IFERROR('Cash Flow Data'!E21,0)</f>
        <v>-136</v>
      </c>
      <c r="D89" s="22">
        <f>IFERROR('Cash Flow Data'!F21,0)</f>
        <v>-47</v>
      </c>
      <c r="E89" s="22">
        <f>IFERROR('Cash Flow Data'!G21,0)</f>
        <v>-85</v>
      </c>
      <c r="F89" s="22">
        <f>IFERROR('Cash Flow Data'!H21,0)</f>
        <v>167</v>
      </c>
      <c r="G89" s="22">
        <f>IFERROR('Cash Flow Data'!I21,0)</f>
        <v>-200</v>
      </c>
      <c r="H89" s="22">
        <f>IFERROR('Cash Flow Data'!J21,0)</f>
        <v>61</v>
      </c>
      <c r="I89" s="22">
        <f>IFERROR('Cash Flow Data'!K21,0)</f>
        <v>93</v>
      </c>
      <c r="J89" s="22">
        <f>IFERROR('Cash Flow Data'!L21,0)</f>
        <v>-324</v>
      </c>
      <c r="K89" s="22">
        <f>IFERROR('Cash Flow Data'!M21,0)</f>
        <v>118</v>
      </c>
      <c r="L89" s="22">
        <f>IFERROR('Cash Flow Data'!N21,0)</f>
        <v>-67</v>
      </c>
    </row>
    <row r="90" spans="2:12" x14ac:dyDescent="0.35">
      <c r="B90" s="2" t="s">
        <v>125</v>
      </c>
      <c r="C90" s="24">
        <f>IFERROR(SUM(C82:C89),0)</f>
        <v>-176</v>
      </c>
      <c r="D90" s="24">
        <f t="shared" ref="D90:L90" si="23">IFERROR(SUM(D82:D89),0)</f>
        <v>26</v>
      </c>
      <c r="E90" s="24">
        <f t="shared" si="23"/>
        <v>-229</v>
      </c>
      <c r="F90" s="24">
        <f t="shared" si="23"/>
        <v>25</v>
      </c>
      <c r="G90" s="24">
        <f t="shared" si="23"/>
        <v>-2</v>
      </c>
      <c r="H90" s="24">
        <f t="shared" si="23"/>
        <v>43</v>
      </c>
      <c r="I90" s="24">
        <f t="shared" si="23"/>
        <v>-55</v>
      </c>
      <c r="J90" s="24">
        <f t="shared" si="23"/>
        <v>-483</v>
      </c>
      <c r="K90" s="24">
        <f t="shared" si="23"/>
        <v>142</v>
      </c>
      <c r="L90" s="24">
        <f t="shared" si="23"/>
        <v>-141</v>
      </c>
    </row>
    <row r="92" spans="2:12" x14ac:dyDescent="0.35">
      <c r="B92" s="2" t="s">
        <v>126</v>
      </c>
    </row>
    <row r="93" spans="2:12" x14ac:dyDescent="0.35">
      <c r="B93" t="s">
        <v>107</v>
      </c>
      <c r="C93" s="22">
        <f>IFERROR('Cash Flow Data'!E23,0)</f>
        <v>8</v>
      </c>
      <c r="D93" s="22">
        <f>IFERROR('Cash Flow Data'!F23,0)</f>
        <v>9</v>
      </c>
      <c r="E93" s="22">
        <f>IFERROR('Cash Flow Data'!G23,0)</f>
        <v>5</v>
      </c>
      <c r="F93" s="22">
        <f>IFERROR('Cash Flow Data'!H23,0)</f>
        <v>1</v>
      </c>
      <c r="G93" s="22">
        <f>IFERROR('Cash Flow Data'!I23,0)</f>
        <v>0</v>
      </c>
      <c r="H93" s="22">
        <f>IFERROR('Cash Flow Data'!J23,0)</f>
        <v>0</v>
      </c>
      <c r="I93" s="22">
        <f>IFERROR('Cash Flow Data'!K23,0)</f>
        <v>0</v>
      </c>
      <c r="J93" s="22">
        <f>IFERROR('Cash Flow Data'!L23,0)</f>
        <v>0</v>
      </c>
      <c r="K93" s="22">
        <f>IFERROR('Cash Flow Data'!M23,0)</f>
        <v>30</v>
      </c>
      <c r="L93" s="22">
        <f>IFERROR('Cash Flow Data'!N23,0)</f>
        <v>32</v>
      </c>
    </row>
    <row r="94" spans="2:12" x14ac:dyDescent="0.35">
      <c r="B94" t="s">
        <v>108</v>
      </c>
      <c r="C94" s="22">
        <f>IFERROR('Cash Flow Data'!E24,0)</f>
        <v>0</v>
      </c>
      <c r="D94" s="22">
        <f>IFERROR('Cash Flow Data'!F24,0)</f>
        <v>5</v>
      </c>
      <c r="E94" s="22">
        <f>IFERROR('Cash Flow Data'!G24,0)</f>
        <v>0</v>
      </c>
      <c r="F94" s="22">
        <f>IFERROR('Cash Flow Data'!H24,0)</f>
        <v>0</v>
      </c>
      <c r="G94" s="22">
        <f>IFERROR('Cash Flow Data'!I24,0)</f>
        <v>0</v>
      </c>
      <c r="H94" s="22">
        <f>IFERROR('Cash Flow Data'!J24,0)</f>
        <v>0</v>
      </c>
      <c r="I94" s="22">
        <f>IFERROR('Cash Flow Data'!K24,0)</f>
        <v>1</v>
      </c>
      <c r="J94" s="22">
        <f>IFERROR('Cash Flow Data'!L24,0)</f>
        <v>0</v>
      </c>
      <c r="K94" s="22">
        <f>IFERROR('Cash Flow Data'!M24,0)</f>
        <v>0</v>
      </c>
      <c r="L94" s="22">
        <f>IFERROR('Cash Flow Data'!N24,0)</f>
        <v>0</v>
      </c>
    </row>
    <row r="95" spans="2:12" x14ac:dyDescent="0.35">
      <c r="B95" t="s">
        <v>109</v>
      </c>
      <c r="C95" s="22">
        <f>IFERROR('Cash Flow Data'!E25,0)</f>
        <v>-2</v>
      </c>
      <c r="D95" s="22">
        <f>IFERROR('Cash Flow Data'!F25,0)</f>
        <v>0</v>
      </c>
      <c r="E95" s="22">
        <f>IFERROR('Cash Flow Data'!G25,0)</f>
        <v>-5</v>
      </c>
      <c r="F95" s="22">
        <f>IFERROR('Cash Flow Data'!H25,0)</f>
        <v>-1</v>
      </c>
      <c r="G95" s="22">
        <f>IFERROR('Cash Flow Data'!I25,0)</f>
        <v>-1</v>
      </c>
      <c r="H95" s="22">
        <f>IFERROR('Cash Flow Data'!J25,0)</f>
        <v>0</v>
      </c>
      <c r="I95" s="22">
        <f>IFERROR('Cash Flow Data'!K25,0)</f>
        <v>0</v>
      </c>
      <c r="J95" s="22">
        <f>IFERROR('Cash Flow Data'!L25,0)</f>
        <v>-1</v>
      </c>
      <c r="K95" s="22">
        <f>IFERROR('Cash Flow Data'!M25,0)</f>
        <v>0</v>
      </c>
      <c r="L95" s="22">
        <f>IFERROR('Cash Flow Data'!N25,0)</f>
        <v>0</v>
      </c>
    </row>
    <row r="96" spans="2:12" x14ac:dyDescent="0.35">
      <c r="B96" t="s">
        <v>110</v>
      </c>
      <c r="C96" s="22">
        <f>IFERROR('Cash Flow Data'!E26,0)</f>
        <v>0</v>
      </c>
      <c r="D96" s="22">
        <f>IFERROR('Cash Flow Data'!F26,0)</f>
        <v>0</v>
      </c>
      <c r="E96" s="22">
        <f>IFERROR('Cash Flow Data'!G26,0)</f>
        <v>0</v>
      </c>
      <c r="F96" s="22">
        <f>IFERROR('Cash Flow Data'!H26,0)</f>
        <v>0</v>
      </c>
      <c r="G96" s="22">
        <f>IFERROR('Cash Flow Data'!I26,0)</f>
        <v>0</v>
      </c>
      <c r="H96" s="22">
        <f>IFERROR('Cash Flow Data'!J26,0)</f>
        <v>0</v>
      </c>
      <c r="I96" s="22">
        <f>IFERROR('Cash Flow Data'!K26,0)</f>
        <v>0</v>
      </c>
      <c r="J96" s="22">
        <f>IFERROR('Cash Flow Data'!L26,0)</f>
        <v>0</v>
      </c>
      <c r="K96" s="22">
        <f>IFERROR('Cash Flow Data'!M26,0)</f>
        <v>0</v>
      </c>
      <c r="L96" s="22">
        <f>IFERROR('Cash Flow Data'!N26,0)</f>
        <v>0</v>
      </c>
    </row>
    <row r="97" spans="2:12" x14ac:dyDescent="0.35">
      <c r="B97" t="s">
        <v>111</v>
      </c>
      <c r="C97" s="22">
        <f>IFERROR('Cash Flow Data'!E27,0)</f>
        <v>0</v>
      </c>
      <c r="D97" s="22">
        <f>IFERROR('Cash Flow Data'!F27,0)</f>
        <v>0</v>
      </c>
      <c r="E97" s="22">
        <f>IFERROR('Cash Flow Data'!G27,0)</f>
        <v>0</v>
      </c>
      <c r="F97" s="22">
        <f>IFERROR('Cash Flow Data'!H27,0)</f>
        <v>-19</v>
      </c>
      <c r="G97" s="22">
        <f>IFERROR('Cash Flow Data'!I27,0)</f>
        <v>-20</v>
      </c>
      <c r="H97" s="22">
        <f>IFERROR('Cash Flow Data'!J27,0)</f>
        <v>-22</v>
      </c>
      <c r="I97" s="22">
        <f>IFERROR('Cash Flow Data'!K27,0)</f>
        <v>-21</v>
      </c>
      <c r="J97" s="22">
        <f>IFERROR('Cash Flow Data'!L27,0)</f>
        <v>-23</v>
      </c>
      <c r="K97" s="22">
        <f>IFERROR('Cash Flow Data'!M27,0)</f>
        <v>-35</v>
      </c>
      <c r="L97" s="22">
        <f>IFERROR('Cash Flow Data'!N27,0)</f>
        <v>-43</v>
      </c>
    </row>
    <row r="98" spans="2:12" x14ac:dyDescent="0.35">
      <c r="B98" t="s">
        <v>112</v>
      </c>
      <c r="C98" s="22">
        <f>IFERROR('Cash Flow Data'!E28,0)</f>
        <v>-4</v>
      </c>
      <c r="D98" s="22">
        <f>IFERROR('Cash Flow Data'!F28,0)</f>
        <v>-4</v>
      </c>
      <c r="E98" s="22">
        <f>IFERROR('Cash Flow Data'!G28,0)</f>
        <v>-4</v>
      </c>
      <c r="F98" s="22">
        <f>IFERROR('Cash Flow Data'!H28,0)</f>
        <v>-4</v>
      </c>
      <c r="G98" s="22">
        <f>IFERROR('Cash Flow Data'!I28,0)</f>
        <v>-3</v>
      </c>
      <c r="H98" s="22">
        <f>IFERROR('Cash Flow Data'!J28,0)</f>
        <v>-3</v>
      </c>
      <c r="I98" s="22">
        <f>IFERROR('Cash Flow Data'!K28,0)</f>
        <v>-3</v>
      </c>
      <c r="J98" s="22">
        <f>IFERROR('Cash Flow Data'!L28,0)</f>
        <v>-5</v>
      </c>
      <c r="K98" s="22">
        <f>IFERROR('Cash Flow Data'!M28,0)</f>
        <v>-5</v>
      </c>
      <c r="L98" s="22">
        <f>IFERROR('Cash Flow Data'!N28,0)</f>
        <v>-5</v>
      </c>
    </row>
    <row r="99" spans="2:12" x14ac:dyDescent="0.35">
      <c r="B99" t="s">
        <v>113</v>
      </c>
      <c r="C99" s="22">
        <f>IFERROR('Cash Flow Data'!E29,0)</f>
        <v>0</v>
      </c>
      <c r="D99" s="22">
        <f>IFERROR('Cash Flow Data'!F29,0)</f>
        <v>0</v>
      </c>
      <c r="E99" s="22">
        <f>IFERROR('Cash Flow Data'!G29,0)</f>
        <v>0</v>
      </c>
      <c r="F99" s="22">
        <f>IFERROR('Cash Flow Data'!H29,0)</f>
        <v>-26</v>
      </c>
      <c r="G99" s="22">
        <f>IFERROR('Cash Flow Data'!I29,0)</f>
        <v>-29</v>
      </c>
      <c r="H99" s="22">
        <f>IFERROR('Cash Flow Data'!J29,0)</f>
        <v>-36</v>
      </c>
      <c r="I99" s="22">
        <f>IFERROR('Cash Flow Data'!K29,0)</f>
        <v>-39</v>
      </c>
      <c r="J99" s="22">
        <f>IFERROR('Cash Flow Data'!L29,0)</f>
        <v>-46</v>
      </c>
      <c r="K99" s="22">
        <f>IFERROR('Cash Flow Data'!M29,0)</f>
        <v>-36</v>
      </c>
      <c r="L99" s="22">
        <f>IFERROR('Cash Flow Data'!N29,0)</f>
        <v>-54</v>
      </c>
    </row>
    <row r="100" spans="2:12" x14ac:dyDescent="0.35">
      <c r="B100" t="s">
        <v>114</v>
      </c>
      <c r="C100" s="22">
        <f>IFERROR('Cash Flow Data'!E30,0)</f>
        <v>0</v>
      </c>
      <c r="D100" s="22">
        <f>IFERROR('Cash Flow Data'!F30,0)</f>
        <v>0</v>
      </c>
      <c r="E100" s="22">
        <f>IFERROR('Cash Flow Data'!G30,0)</f>
        <v>0</v>
      </c>
      <c r="F100" s="22">
        <f>IFERROR('Cash Flow Data'!H30,0)</f>
        <v>0</v>
      </c>
      <c r="G100" s="22">
        <f>IFERROR('Cash Flow Data'!I30,0)</f>
        <v>0</v>
      </c>
      <c r="H100" s="22">
        <f>IFERROR('Cash Flow Data'!J30,0)</f>
        <v>28</v>
      </c>
      <c r="I100" s="22">
        <f>IFERROR('Cash Flow Data'!K30,0)</f>
        <v>22</v>
      </c>
      <c r="J100" s="22">
        <f>IFERROR('Cash Flow Data'!L30,0)</f>
        <v>15</v>
      </c>
      <c r="K100" s="22">
        <f>IFERROR('Cash Flow Data'!M30,0)</f>
        <v>0</v>
      </c>
      <c r="L100" s="22">
        <f>IFERROR('Cash Flow Data'!N30,0)</f>
        <v>0</v>
      </c>
    </row>
    <row r="101" spans="2:12" x14ac:dyDescent="0.35">
      <c r="B101" t="s">
        <v>115</v>
      </c>
      <c r="C101" s="22">
        <f>IFERROR('Cash Flow Data'!E31,0)</f>
        <v>-247</v>
      </c>
      <c r="D101" s="22">
        <f>IFERROR('Cash Flow Data'!F31,0)</f>
        <v>-313</v>
      </c>
      <c r="E101" s="22">
        <f>IFERROR('Cash Flow Data'!G31,0)</f>
        <v>-51</v>
      </c>
      <c r="F101" s="22">
        <f>IFERROR('Cash Flow Data'!H31,0)</f>
        <v>-260</v>
      </c>
      <c r="G101" s="22">
        <f>IFERROR('Cash Flow Data'!I31,0)</f>
        <v>-135</v>
      </c>
      <c r="H101" s="22">
        <f>IFERROR('Cash Flow Data'!J31,0)</f>
        <v>-383</v>
      </c>
      <c r="I101" s="22">
        <f>IFERROR('Cash Flow Data'!K31,0)</f>
        <v>-399</v>
      </c>
      <c r="J101" s="22">
        <f>IFERROR('Cash Flow Data'!L31,0)</f>
        <v>-46</v>
      </c>
      <c r="K101" s="22">
        <f>IFERROR('Cash Flow Data'!M31,0)</f>
        <v>-564</v>
      </c>
      <c r="L101" s="22">
        <f>IFERROR('Cash Flow Data'!N31,0)</f>
        <v>-552</v>
      </c>
    </row>
    <row r="102" spans="2:12" x14ac:dyDescent="0.35">
      <c r="B102" s="2" t="s">
        <v>127</v>
      </c>
      <c r="C102" s="24">
        <f>IFERROR(SUM(C93:C101),0)</f>
        <v>-245</v>
      </c>
      <c r="D102" s="24">
        <f t="shared" ref="D102:L102" si="24">IFERROR(SUM(D93:D101),0)</f>
        <v>-303</v>
      </c>
      <c r="E102" s="24">
        <f t="shared" si="24"/>
        <v>-55</v>
      </c>
      <c r="F102" s="24">
        <f>IFERROR(SUM(F93:F101),0)</f>
        <v>-309</v>
      </c>
      <c r="G102" s="24">
        <f t="shared" si="24"/>
        <v>-188</v>
      </c>
      <c r="H102" s="24">
        <f t="shared" si="24"/>
        <v>-416</v>
      </c>
      <c r="I102" s="24">
        <f t="shared" si="24"/>
        <v>-439</v>
      </c>
      <c r="J102" s="24">
        <f t="shared" si="24"/>
        <v>-106</v>
      </c>
      <c r="K102" s="24">
        <f t="shared" si="24"/>
        <v>-610</v>
      </c>
      <c r="L102" s="24">
        <f t="shared" si="24"/>
        <v>-622</v>
      </c>
    </row>
    <row r="104" spans="2:12" x14ac:dyDescent="0.35">
      <c r="B104" s="2" t="s">
        <v>21</v>
      </c>
      <c r="C104" s="24">
        <f>IFERROR(SUM(C102,C90,C79),0)</f>
        <v>-109</v>
      </c>
      <c r="D104" s="24">
        <f t="shared" ref="D104:L104" si="25">IFERROR(SUM(D102,D90,D79),0)</f>
        <v>27</v>
      </c>
      <c r="E104" s="24">
        <f t="shared" si="25"/>
        <v>-78</v>
      </c>
      <c r="F104" s="24">
        <f t="shared" si="25"/>
        <v>49</v>
      </c>
      <c r="G104" s="24">
        <f t="shared" si="25"/>
        <v>175</v>
      </c>
      <c r="H104" s="24">
        <f t="shared" si="25"/>
        <v>72</v>
      </c>
      <c r="I104" s="24">
        <f t="shared" si="25"/>
        <v>-1</v>
      </c>
      <c r="J104" s="24">
        <f t="shared" si="25"/>
        <v>-63</v>
      </c>
      <c r="K104" s="24">
        <f t="shared" si="25"/>
        <v>187</v>
      </c>
      <c r="L104" s="24">
        <f t="shared" si="25"/>
        <v>111</v>
      </c>
    </row>
  </sheetData>
  <mergeCells count="1">
    <mergeCell ref="B2:M2"/>
  </mergeCells>
  <pageMargins left="0.7" right="0.7" top="0.75" bottom="0.75" header="0.3" footer="0.3"/>
  <pageSetup paperSize="9" orientation="portrait" r:id="rId1"/>
  <ignoredErrors>
    <ignoredError sqref="M6 C9:K9 M9 C15:L15 M21 M24 M3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9B36-53D1-4B28-B635-D9836A790BFE}">
  <sheetPr>
    <tabColor rgb="FF002060"/>
  </sheetPr>
  <dimension ref="B2:P41"/>
  <sheetViews>
    <sheetView showGridLines="0" workbookViewId="0">
      <pane ySplit="3" topLeftCell="A4" activePane="bottomLeft" state="frozen"/>
      <selection pane="bottomLeft" activeCell="G14" sqref="G14"/>
    </sheetView>
  </sheetViews>
  <sheetFormatPr defaultRowHeight="14.5" x14ac:dyDescent="0.35"/>
  <cols>
    <col min="1" max="1" width="1.81640625" customWidth="1"/>
    <col min="2" max="2" width="27.54296875" customWidth="1"/>
    <col min="3" max="3" width="9.81640625" bestFit="1" customWidth="1"/>
    <col min="13" max="13" width="0" hidden="1" customWidth="1"/>
    <col min="14" max="14" width="17.81640625" customWidth="1"/>
    <col min="15" max="15" width="11.90625" customWidth="1"/>
    <col min="16" max="16" width="12.7265625" customWidth="1"/>
  </cols>
  <sheetData>
    <row r="2" spans="2:16" x14ac:dyDescent="0.35">
      <c r="B2" s="59" t="str">
        <f>"Ratio Analysis - " &amp; 'Data Sheet'!B1</f>
        <v>Ratio Analysis - ITC LTD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2:16" x14ac:dyDescent="0.35">
      <c r="B3" s="10" t="s">
        <v>56</v>
      </c>
      <c r="C3" s="11">
        <f>IFERROR('Data Sheet'!B16,0)</f>
        <v>42825</v>
      </c>
      <c r="D3" s="11">
        <f>IFERROR('Data Sheet'!C16,0)</f>
        <v>43190</v>
      </c>
      <c r="E3" s="11">
        <f>IFERROR('Data Sheet'!D16,0)</f>
        <v>43555</v>
      </c>
      <c r="F3" s="11">
        <f>IFERROR('Data Sheet'!E16,0)</f>
        <v>43921</v>
      </c>
      <c r="G3" s="11">
        <f>IFERROR('Data Sheet'!F16,0)</f>
        <v>44286</v>
      </c>
      <c r="H3" s="11">
        <f>IFERROR('Data Sheet'!G16,0)</f>
        <v>44651</v>
      </c>
      <c r="I3" s="11">
        <f>IFERROR('Data Sheet'!H16,0)</f>
        <v>45016</v>
      </c>
      <c r="J3" s="11">
        <f>IFERROR('Data Sheet'!I16,0)</f>
        <v>45382</v>
      </c>
      <c r="K3" s="11">
        <f>IFERROR('Data Sheet'!J16,0)</f>
        <v>45747</v>
      </c>
      <c r="L3" s="11">
        <f>IFERROR('Data Sheet'!K16,0)</f>
        <v>46112</v>
      </c>
      <c r="M3" s="12" t="s">
        <v>57</v>
      </c>
      <c r="N3" s="48" t="s">
        <v>161</v>
      </c>
      <c r="O3" s="48" t="s">
        <v>159</v>
      </c>
      <c r="P3" s="48" t="s">
        <v>160</v>
      </c>
    </row>
    <row r="5" spans="2:16" x14ac:dyDescent="0.35">
      <c r="B5" s="32" t="s">
        <v>134</v>
      </c>
      <c r="C5" s="33"/>
      <c r="D5" s="33">
        <f>IFERROR(HistoricalFS!D7,0)</f>
        <v>1.5931218960147486E-2</v>
      </c>
      <c r="E5" s="33">
        <f>IFERROR(HistoricalFS!E7,0)</f>
        <v>0.11256062863673999</v>
      </c>
      <c r="F5" s="33">
        <f>IFERROR(HistoricalFS!F7,0)</f>
        <v>2.1682439110972673E-2</v>
      </c>
      <c r="G5" s="33">
        <f>IFERROR(HistoricalFS!G7,0)</f>
        <v>-2.6372963308678443E-3</v>
      </c>
      <c r="H5" s="33">
        <f>IFERROR(HistoricalFS!H7,0)</f>
        <v>0.23117497962237188</v>
      </c>
      <c r="I5" s="33">
        <f>IFERROR(HistoricalFS!I7,0)</f>
        <v>0.1694215175842706</v>
      </c>
      <c r="J5" s="33">
        <f>IFERROR(HistoricalFS!J7,0)</f>
        <v>-4.2119724423754779E-2</v>
      </c>
      <c r="K5" s="33">
        <f>IFERROR(HistoricalFS!K7,0)</f>
        <v>0.10880596078957838</v>
      </c>
      <c r="L5" s="33">
        <f>IFERROR(HistoricalFS!L7,0)</f>
        <v>4.7064561927285808E-2</v>
      </c>
      <c r="M5" s="32"/>
      <c r="N5" s="32"/>
      <c r="O5" s="45">
        <f>IFERROR(AVERAGE(D5:L5),0)</f>
        <v>7.3542698430749356E-2</v>
      </c>
      <c r="P5" s="45">
        <f>IFERROR(MEDIAN(C5:L5),0)</f>
        <v>4.7064561927285808E-2</v>
      </c>
    </row>
    <row r="6" spans="2:16" x14ac:dyDescent="0.35">
      <c r="B6" t="s">
        <v>128</v>
      </c>
      <c r="C6" s="34"/>
      <c r="D6" s="34">
        <f>IFERROR(HistoricalFS!D18/HistoricalFS!C18-1,0)</f>
        <v>1.3652222556352234E-2</v>
      </c>
      <c r="E6" s="34">
        <f>IFERROR(HistoricalFS!E18/HistoricalFS!D18-1,0)</f>
        <v>0.15352023761408495</v>
      </c>
      <c r="F6" s="34">
        <f>IFERROR(HistoricalFS!F18/HistoricalFS!E18-1,0)</f>
        <v>3.4048645346590689E-2</v>
      </c>
      <c r="G6" s="34">
        <f>IFERROR(HistoricalFS!G18/HistoricalFS!F18-1,0)</f>
        <v>1.2017231428851138E-2</v>
      </c>
      <c r="H6" s="34">
        <f>IFERROR(HistoricalFS!H18/HistoricalFS!G18-1,0)</f>
        <v>0.26036844743692744</v>
      </c>
      <c r="I6" s="34">
        <f>IFERROR(HistoricalFS!I18/HistoricalFS!H18-1,0)</f>
        <v>0.15461831643331192</v>
      </c>
      <c r="J6" s="34">
        <f>IFERROR(HistoricalFS!J18/HistoricalFS!I18-1,0)</f>
        <v>-4.5988441330107599E-2</v>
      </c>
      <c r="K6" s="34">
        <f>IFERROR(HistoricalFS!K18/HistoricalFS!J18-1,0)</f>
        <v>0.11420432807155434</v>
      </c>
      <c r="L6" s="34">
        <f>IFERROR(HistoricalFS!L18/HistoricalFS!K18-1,0)</f>
        <v>6.6085713138678059E-2</v>
      </c>
      <c r="O6" s="37">
        <f t="shared" ref="O6:O9" si="0">IFERROR(AVERAGE(D6:L6),0)</f>
        <v>8.472518896624924E-2</v>
      </c>
      <c r="P6" s="37">
        <f t="shared" ref="P6:P41" si="1">IFERROR(MEDIAN(C6:L6),0)</f>
        <v>6.6085713138678059E-2</v>
      </c>
    </row>
    <row r="7" spans="2:16" x14ac:dyDescent="0.35">
      <c r="B7" t="s">
        <v>129</v>
      </c>
      <c r="C7" s="34"/>
      <c r="D7" s="34">
        <f>IFERROR((HistoricalFS!D18-HistoricalFS!D24)/(HistoricalFS!C18-HistoricalFS!C24)-1,0)</f>
        <v>1.137663229247976E-2</v>
      </c>
      <c r="E7" s="34">
        <f>IFERROR((HistoricalFS!E18-HistoricalFS!E24)/(HistoricalFS!D18-HistoricalFS!D24)-1,0)</f>
        <v>0.15449871695797324</v>
      </c>
      <c r="F7" s="34">
        <f>IFERROR((HistoricalFS!F18-HistoricalFS!F24)/(HistoricalFS!E18-HistoricalFS!E24)-1,0)</f>
        <v>2.8274120290067373E-2</v>
      </c>
      <c r="G7" s="34">
        <f>IFERROR((HistoricalFS!G18-HistoricalFS!G24)/(HistoricalFS!F18-HistoricalFS!F24)-1,0)</f>
        <v>1.2551182287410922E-2</v>
      </c>
      <c r="H7" s="34">
        <f>IFERROR((HistoricalFS!H18-HistoricalFS!H24)/(HistoricalFS!G18-HistoricalFS!G24)-1,0)</f>
        <v>0.26980707759718658</v>
      </c>
      <c r="I7" s="34">
        <f>IFERROR((HistoricalFS!I18-HistoricalFS!I24)/(HistoricalFS!H18-HistoricalFS!H24)-1,0)</f>
        <v>0.15877964771187192</v>
      </c>
      <c r="J7" s="34">
        <f>IFERROR((HistoricalFS!J18-HistoricalFS!J24)/(HistoricalFS!I18-HistoricalFS!I24)-1,0)</f>
        <v>-4.2087427977786418E-2</v>
      </c>
      <c r="K7" s="34">
        <f>IFERROR((HistoricalFS!K18-HistoricalFS!K24)/(HistoricalFS!J18-HistoricalFS!J24)-1,0)</f>
        <v>0.1150882873806427</v>
      </c>
      <c r="L7" s="34">
        <f>IFERROR((HistoricalFS!L18-HistoricalFS!L24)/(HistoricalFS!K18-HistoricalFS!K24)-1,0)</f>
        <v>6.6869480430792105E-2</v>
      </c>
      <c r="O7" s="37">
        <f t="shared" si="0"/>
        <v>8.6128635218959804E-2</v>
      </c>
      <c r="P7" s="37">
        <f t="shared" si="1"/>
        <v>6.6869480430792105E-2</v>
      </c>
    </row>
    <row r="8" spans="2:16" x14ac:dyDescent="0.35">
      <c r="B8" t="s">
        <v>130</v>
      </c>
      <c r="C8" s="34"/>
      <c r="D8" s="34">
        <f>IFERROR(HistoricalFS!D33/HistoricalFS!C33-1,0)</f>
        <v>-3.9131026477969844E-3</v>
      </c>
      <c r="E8" s="34">
        <f>IFERROR(HistoricalFS!E33/HistoricalFS!D33-1,0)</f>
        <v>0.17850019455503374</v>
      </c>
      <c r="F8" s="34">
        <f>IFERROR(HistoricalFS!F33/HistoricalFS!E33-1,0)</f>
        <v>0.10025307463481736</v>
      </c>
      <c r="G8" s="34">
        <f>IFERROR(HistoricalFS!G33/HistoricalFS!F33-1,0)</f>
        <v>1.1484092715681404E-2</v>
      </c>
      <c r="H8" s="34">
        <f>IFERROR(HistoricalFS!H33/HistoricalFS!G33-1,0)</f>
        <v>0.28755797488746992</v>
      </c>
      <c r="I8" s="34">
        <f>IFERROR(HistoricalFS!I33/HistoricalFS!H33-1,0)</f>
        <v>0.14949066113718912</v>
      </c>
      <c r="J8" s="34">
        <f>IFERROR(HistoricalFS!J33/HistoricalFS!I33-1,0)</f>
        <v>-4.2229669018796878E-2</v>
      </c>
      <c r="K8" s="34">
        <f>IFERROR(HistoricalFS!K33/HistoricalFS!J33-1,0)</f>
        <v>0.11580701853137443</v>
      </c>
      <c r="L8" s="34">
        <f>IFERROR(HistoricalFS!L33/HistoricalFS!K33-1,0)</f>
        <v>7.2852878942869514E-2</v>
      </c>
      <c r="O8" s="37">
        <f t="shared" si="0"/>
        <v>9.6644791526426854E-2</v>
      </c>
      <c r="P8" s="37">
        <f t="shared" si="1"/>
        <v>0.10025307463481736</v>
      </c>
    </row>
    <row r="9" spans="2:16" x14ac:dyDescent="0.35">
      <c r="B9" s="35" t="s">
        <v>135</v>
      </c>
      <c r="C9" s="36"/>
      <c r="D9" s="36">
        <f>IFERROR(HistoricalFS!D41/HistoricalFS!C41-1,0)</f>
        <v>8.4208810537972134E-2</v>
      </c>
      <c r="E9" s="36">
        <f>IFERROR(HistoricalFS!E41/HistoricalFS!D41-1,0)</f>
        <v>0.11650644574362401</v>
      </c>
      <c r="F9" s="36">
        <f>IFERROR(HistoricalFS!F41/HistoricalFS!E41-1,0)</f>
        <v>0.76521571469920979</v>
      </c>
      <c r="G9" s="36">
        <f>IFERROR(HistoricalFS!G41/HistoricalFS!F41-1,0)</f>
        <v>5.9113555156941944E-2</v>
      </c>
      <c r="H9" s="36">
        <f>IFERROR(HistoricalFS!H41/HistoricalFS!G41-1,0)</f>
        <v>6.9767819288815591E-2</v>
      </c>
      <c r="I9" s="36">
        <f>IFERROR(HistoricalFS!I41/HistoricalFS!H41-1,0)</f>
        <v>0.34782561142550716</v>
      </c>
      <c r="J9" s="36">
        <f>IFERROR(HistoricalFS!J41/HistoricalFS!I41-1,0)</f>
        <v>-0.1129033549968389</v>
      </c>
      <c r="K9" s="36">
        <f>IFERROR(HistoricalFS!K41/HistoricalFS!J41-1,0)</f>
        <v>4.3636312217121498E-2</v>
      </c>
      <c r="L9" s="36">
        <f>IFERROR(HistoricalFS!L41/HistoricalFS!K41-1,0)</f>
        <v>1.0453436701325813E-2</v>
      </c>
      <c r="M9" s="35"/>
      <c r="N9" s="35"/>
      <c r="O9" s="46">
        <f t="shared" si="0"/>
        <v>0.15375826119707545</v>
      </c>
      <c r="P9" s="46">
        <f t="shared" si="1"/>
        <v>6.9767819288815591E-2</v>
      </c>
    </row>
    <row r="10" spans="2:16" x14ac:dyDescent="0.35">
      <c r="C10" s="30"/>
      <c r="D10" s="30"/>
      <c r="E10" s="30"/>
      <c r="F10" s="30"/>
      <c r="G10" s="30"/>
      <c r="H10" s="30"/>
      <c r="I10" s="30"/>
      <c r="J10" s="30"/>
      <c r="K10" s="30"/>
      <c r="L10" s="30"/>
      <c r="O10" s="37"/>
      <c r="P10" s="37"/>
    </row>
    <row r="11" spans="2:16" x14ac:dyDescent="0.35">
      <c r="B11" s="32" t="s">
        <v>132</v>
      </c>
      <c r="C11" s="33">
        <f>IFERROR(HistoricalFS!C13,0)</f>
        <v>0.84819045258560222</v>
      </c>
      <c r="D11" s="33">
        <f>IFERROR(HistoricalFS!D13,0)</f>
        <v>0.83567424199531681</v>
      </c>
      <c r="E11" s="33">
        <f>IFERROR(HistoricalFS!E13,0)</f>
        <v>0.86362252216506641</v>
      </c>
      <c r="F11" s="33">
        <f>IFERROR(HistoricalFS!F13,0)</f>
        <v>0.87280638701539037</v>
      </c>
      <c r="G11" s="33">
        <f>IFERROR(HistoricalFS!G13,0)</f>
        <v>0.87606341781801533</v>
      </c>
      <c r="H11" s="33">
        <f>IFERROR(HistoricalFS!H13,0)</f>
        <v>0.88487026202193964</v>
      </c>
      <c r="I11" s="33">
        <f>IFERROR(HistoricalFS!I13,0)</f>
        <v>0.87397219053898501</v>
      </c>
      <c r="J11" s="33">
        <f>IFERROR(HistoricalFS!J13,0)</f>
        <v>0.87756245442129288</v>
      </c>
      <c r="K11" s="33">
        <f>IFERROR(HistoricalFS!K13,0)</f>
        <v>0.88363713027064394</v>
      </c>
      <c r="L11" s="33">
        <f>IFERROR(HistoricalFS!L13,0)</f>
        <v>0.90159265307778536</v>
      </c>
      <c r="M11" s="32"/>
      <c r="N11" s="32"/>
      <c r="O11" s="45">
        <f>IFERROR(AVERAGE(C11:L11),0)</f>
        <v>0.87179917119100381</v>
      </c>
      <c r="P11" s="45">
        <f t="shared" si="1"/>
        <v>0.87501780417850017</v>
      </c>
    </row>
    <row r="12" spans="2:16" x14ac:dyDescent="0.35">
      <c r="B12" t="s">
        <v>131</v>
      </c>
      <c r="C12" s="34">
        <f>IFERROR(HistoricalFS!C19,0)</f>
        <v>0.72311983838232685</v>
      </c>
      <c r="D12" s="34">
        <f>IFERROR(HistoricalFS!D19,0)</f>
        <v>0.72149769361461991</v>
      </c>
      <c r="E12" s="34">
        <f>IFERROR(HistoricalFS!E19,0)</f>
        <v>0.74806007830436261</v>
      </c>
      <c r="F12" s="34">
        <f>IFERROR(HistoricalFS!F19,0)</f>
        <v>0.75711442322683575</v>
      </c>
      <c r="G12" s="34">
        <f>IFERROR(HistoricalFS!G19,0)</f>
        <v>0.76823891614364914</v>
      </c>
      <c r="H12" s="34">
        <f>IFERROR(HistoricalFS!H19,0)</f>
        <v>0.78645530166442024</v>
      </c>
      <c r="I12" s="34">
        <f>IFERROR(HistoricalFS!I19,0)</f>
        <v>0.77649990418650672</v>
      </c>
      <c r="J12" s="34">
        <f>IFERROR(HistoricalFS!J19,0)</f>
        <v>0.77336375201414831</v>
      </c>
      <c r="K12" s="34">
        <f>IFERROR(HistoricalFS!K19,0)</f>
        <v>0.77712897489675847</v>
      </c>
      <c r="L12" s="34">
        <f>IFERROR(HistoricalFS!L19,0)</f>
        <v>0.79124643076314471</v>
      </c>
      <c r="O12" s="37">
        <f t="shared" ref="O12:O15" si="2">IFERROR(AVERAGE(C12:L12),0)</f>
        <v>0.7622725313196772</v>
      </c>
      <c r="P12" s="37">
        <f t="shared" si="1"/>
        <v>0.77080133407889873</v>
      </c>
    </row>
    <row r="13" spans="2:16" x14ac:dyDescent="0.35">
      <c r="B13" t="s">
        <v>133</v>
      </c>
      <c r="C13" s="34">
        <f>IFERROR((HistoricalFS!C18-HistoricalFS!C24)/HistoricalFS!C6,0)</f>
        <v>0.69616508758967066</v>
      </c>
      <c r="D13" s="34">
        <f>IFERROR((HistoricalFS!D18-HistoricalFS!D24)/HistoricalFS!D6,0)</f>
        <v>0.69304406505659299</v>
      </c>
      <c r="E13" s="34">
        <f>IFERROR((HistoricalFS!E18-HistoricalFS!E24)/HistoricalFS!E6,0)</f>
        <v>0.7191684329901088</v>
      </c>
      <c r="F13" s="34">
        <f>IFERROR((HistoricalFS!F18-HistoricalFS!F24)/HistoricalFS!F6,0)</f>
        <v>0.72380835714155534</v>
      </c>
      <c r="G13" s="34">
        <f>IFERROR((HistoricalFS!G18-HistoricalFS!G24)/HistoricalFS!G6,0)</f>
        <v>0.73483097480685655</v>
      </c>
      <c r="H13" s="34">
        <f>IFERROR((HistoricalFS!H18-HistoricalFS!H24)/HistoricalFS!H6,0)</f>
        <v>0.75788867390205283</v>
      </c>
      <c r="I13" s="34">
        <f>IFERROR((HistoricalFS!I18-HistoricalFS!I24)/HistoricalFS!I6,0)</f>
        <v>0.75099180008525213</v>
      </c>
      <c r="J13" s="34">
        <f>IFERROR((HistoricalFS!J18-HistoricalFS!J24)/HistoricalFS!J6,0)</f>
        <v>0.75101712095959572</v>
      </c>
      <c r="K13" s="34">
        <f>IFERROR((HistoricalFS!K18-HistoricalFS!K24)/HistoricalFS!K6,0)</f>
        <v>0.7552722701887622</v>
      </c>
      <c r="L13" s="34">
        <f>IFERROR((HistoricalFS!L18-HistoricalFS!L24)/HistoricalFS!L6,0)</f>
        <v>0.76955802323871159</v>
      </c>
      <c r="O13" s="37">
        <f t="shared" si="2"/>
        <v>0.73517448059591584</v>
      </c>
      <c r="P13" s="37">
        <f t="shared" si="1"/>
        <v>0.74291138744605434</v>
      </c>
    </row>
    <row r="14" spans="2:16" x14ac:dyDescent="0.35">
      <c r="B14" t="s">
        <v>157</v>
      </c>
      <c r="C14" s="34">
        <f>IFERROR(HistoricalFS!C28,0)</f>
        <v>0.69501865898483894</v>
      </c>
      <c r="D14" s="34">
        <f>IFERROR(HistoricalFS!D28,0)</f>
        <v>0.6903970499625538</v>
      </c>
      <c r="E14" s="34">
        <f>IFERROR(HistoricalFS!E28,0)</f>
        <v>0.71769138250684017</v>
      </c>
      <c r="F14" s="34">
        <f>IFERROR(HistoricalFS!F28,0)</f>
        <v>0.72216057844362047</v>
      </c>
      <c r="G14" s="34">
        <f>IFERROR(HistoricalFS!G28,0)</f>
        <v>0.73365409699446471</v>
      </c>
      <c r="H14" s="34">
        <f>IFERROR(HistoricalFS!H28,0)</f>
        <v>0.75689946695943278</v>
      </c>
      <c r="I14" s="34">
        <f>IFERROR(HistoricalFS!I28,0)</f>
        <v>0.74989519738214128</v>
      </c>
      <c r="J14" s="34">
        <f>IFERROR(HistoricalFS!J28,0)</f>
        <v>0.75044139766949092</v>
      </c>
      <c r="K14" s="34">
        <f>IFERROR(HistoricalFS!K28,0)</f>
        <v>0.75467404923892123</v>
      </c>
      <c r="L14" s="34">
        <f>IFERROR(HistoricalFS!L28,0)</f>
        <v>0.76847812305055008</v>
      </c>
      <c r="O14" s="37">
        <f t="shared" si="2"/>
        <v>0.73393100011928536</v>
      </c>
      <c r="P14" s="37">
        <f t="shared" si="1"/>
        <v>0.74177464718830299</v>
      </c>
    </row>
    <row r="15" spans="2:16" x14ac:dyDescent="0.35">
      <c r="B15" s="35" t="s">
        <v>136</v>
      </c>
      <c r="C15" s="36">
        <f>IFERROR(HistoricalFS!C34,0)</f>
        <v>0.56526880161617676</v>
      </c>
      <c r="D15" s="36">
        <f>IFERROR(HistoricalFS!D34,0)</f>
        <v>0.55422732982668854</v>
      </c>
      <c r="E15" s="36">
        <f>IFERROR(HistoricalFS!E34,0)</f>
        <v>0.58707543590573197</v>
      </c>
      <c r="F15" s="36">
        <f>IFERROR(HistoricalFS!F34,0)</f>
        <v>0.63222340785256237</v>
      </c>
      <c r="G15" s="36">
        <f>IFERROR(HistoricalFS!G34,0)</f>
        <v>0.64117488826563285</v>
      </c>
      <c r="H15" s="36">
        <f>IFERROR(HistoricalFS!H34,0)</f>
        <v>0.67053818859867675</v>
      </c>
      <c r="I15" s="36">
        <f>IFERROR(HistoricalFS!I34,0)</f>
        <v>0.65910997372637492</v>
      </c>
      <c r="J15" s="36">
        <f>IFERROR(HistoricalFS!J34,0)</f>
        <v>0.65903432170493004</v>
      </c>
      <c r="K15" s="36">
        <f>IFERROR(HistoricalFS!K34,0)</f>
        <v>0.66319549823467738</v>
      </c>
      <c r="L15" s="36">
        <f>IFERROR(HistoricalFS!L34,0)</f>
        <v>0.67952944398517034</v>
      </c>
      <c r="M15" s="35"/>
      <c r="N15" s="35"/>
      <c r="O15" s="46">
        <f t="shared" si="2"/>
        <v>0.6311377289716622</v>
      </c>
      <c r="P15" s="46">
        <f t="shared" si="1"/>
        <v>0.65010460498528144</v>
      </c>
    </row>
    <row r="16" spans="2:16" x14ac:dyDescent="0.35">
      <c r="C16" s="30"/>
      <c r="D16" s="30"/>
      <c r="E16" s="30"/>
      <c r="F16" s="30"/>
      <c r="G16" s="30"/>
      <c r="H16" s="30"/>
      <c r="I16" s="30"/>
      <c r="J16" s="30"/>
      <c r="K16" s="30"/>
      <c r="L16" s="30"/>
      <c r="O16" s="37"/>
      <c r="P16" s="37"/>
    </row>
    <row r="17" spans="2:16" x14ac:dyDescent="0.35">
      <c r="B17" s="32" t="s">
        <v>137</v>
      </c>
      <c r="C17" s="33">
        <f>IFERROR(HistoricalFS!C16,0)</f>
        <v>0.12507061420327537</v>
      </c>
      <c r="D17" s="33">
        <f>IFERROR(HistoricalFS!D16,0)</f>
        <v>0.11417654838069698</v>
      </c>
      <c r="E17" s="33">
        <f>IFERROR(HistoricalFS!E16,0)</f>
        <v>0.11556244386070379</v>
      </c>
      <c r="F17" s="33">
        <f>IFERROR(HistoricalFS!F16,0)</f>
        <v>0.11569196378855465</v>
      </c>
      <c r="G17" s="33">
        <f>IFERROR(HistoricalFS!G16,0)</f>
        <v>0.10782450167436604</v>
      </c>
      <c r="H17" s="33">
        <f>IFERROR(HistoricalFS!H16,0)</f>
        <v>9.8414960357519399E-2</v>
      </c>
      <c r="I17" s="33">
        <f>IFERROR(HistoricalFS!I16,0)</f>
        <v>9.7472286352478302E-2</v>
      </c>
      <c r="J17" s="33">
        <f>IFERROR(HistoricalFS!J16,0)</f>
        <v>0.10419870240714456</v>
      </c>
      <c r="K17" s="33">
        <f>IFERROR(HistoricalFS!K16,0)</f>
        <v>0.10650815537388544</v>
      </c>
      <c r="L17" s="33">
        <f>IFERROR(HistoricalFS!L16,0)</f>
        <v>0.1103462223146406</v>
      </c>
      <c r="M17" s="32"/>
      <c r="N17" s="32"/>
      <c r="O17" s="45">
        <f t="shared" ref="O17:O25" si="3">IFERROR(AVERAGE(C17:L17),0)</f>
        <v>0.10952663987132652</v>
      </c>
      <c r="P17" s="45">
        <f t="shared" si="1"/>
        <v>0.10908536199450332</v>
      </c>
    </row>
    <row r="18" spans="2:16" x14ac:dyDescent="0.35">
      <c r="B18" t="s">
        <v>138</v>
      </c>
      <c r="C18" s="34">
        <f>IFERROR(HistoricalFS!C25,0)</f>
        <v>2.6954750792656124E-2</v>
      </c>
      <c r="D18" s="34">
        <f>IFERROR(HistoricalFS!D25,0)</f>
        <v>2.845362855802696E-2</v>
      </c>
      <c r="E18" s="34">
        <f>IFERROR(HistoricalFS!E25,0)</f>
        <v>2.8891645314253867E-2</v>
      </c>
      <c r="F18" s="34">
        <f>IFERROR(HistoricalFS!F25,0)</f>
        <v>3.3306066085280348E-2</v>
      </c>
      <c r="G18" s="34">
        <f>IFERROR(HistoricalFS!G25,0)</f>
        <v>3.3407941336792708E-2</v>
      </c>
      <c r="H18" s="34">
        <f>IFERROR(HistoricalFS!H25,0)</f>
        <v>2.8566627762367396E-2</v>
      </c>
      <c r="I18" s="34">
        <f>IFERROR(HistoricalFS!I25,0)</f>
        <v>2.550810410125463E-2</v>
      </c>
      <c r="J18" s="34">
        <f>IFERROR(HistoricalFS!J25,0)</f>
        <v>2.2346631054552542E-2</v>
      </c>
      <c r="K18" s="34">
        <f>IFERROR(HistoricalFS!K25,0)</f>
        <v>2.1856704707996222E-2</v>
      </c>
      <c r="L18" s="34">
        <f>IFERROR(HistoricalFS!L25,0)</f>
        <v>2.1688407524433108E-2</v>
      </c>
      <c r="O18" s="37">
        <f t="shared" si="3"/>
        <v>2.709805072376139E-2</v>
      </c>
      <c r="P18" s="37">
        <f t="shared" si="1"/>
        <v>2.7704189675341544E-2</v>
      </c>
    </row>
    <row r="19" spans="2:16" x14ac:dyDescent="0.35">
      <c r="B19" s="35" t="s">
        <v>139</v>
      </c>
      <c r="C19" s="36">
        <f>C13</f>
        <v>0.69616508758967066</v>
      </c>
      <c r="D19" s="36">
        <f t="shared" ref="D19:L19" si="4">D13</f>
        <v>0.69304406505659299</v>
      </c>
      <c r="E19" s="36">
        <f t="shared" si="4"/>
        <v>0.7191684329901088</v>
      </c>
      <c r="F19" s="36">
        <f t="shared" si="4"/>
        <v>0.72380835714155534</v>
      </c>
      <c r="G19" s="36">
        <f t="shared" si="4"/>
        <v>0.73483097480685655</v>
      </c>
      <c r="H19" s="36">
        <f t="shared" si="4"/>
        <v>0.75788867390205283</v>
      </c>
      <c r="I19" s="36">
        <f t="shared" si="4"/>
        <v>0.75099180008525213</v>
      </c>
      <c r="J19" s="36">
        <f t="shared" si="4"/>
        <v>0.75101712095959572</v>
      </c>
      <c r="K19" s="36">
        <f t="shared" si="4"/>
        <v>0.7552722701887622</v>
      </c>
      <c r="L19" s="36">
        <f t="shared" si="4"/>
        <v>0.76955802323871159</v>
      </c>
      <c r="M19" s="35"/>
      <c r="N19" s="35"/>
      <c r="O19" s="46">
        <f t="shared" si="3"/>
        <v>0.73517448059591584</v>
      </c>
      <c r="P19" s="46">
        <f t="shared" si="1"/>
        <v>0.74291138744605434</v>
      </c>
    </row>
    <row r="20" spans="2:16" x14ac:dyDescent="0.35">
      <c r="C20" s="30"/>
      <c r="D20" s="30"/>
      <c r="E20" s="30"/>
      <c r="F20" s="30"/>
      <c r="G20" s="30"/>
      <c r="H20" s="30"/>
      <c r="I20" s="30"/>
      <c r="J20" s="30"/>
      <c r="K20" s="30"/>
      <c r="L20" s="30"/>
      <c r="O20" s="44"/>
      <c r="P20" s="44"/>
    </row>
    <row r="21" spans="2:16" x14ac:dyDescent="0.35">
      <c r="B21" s="32" t="s">
        <v>140</v>
      </c>
      <c r="C21" s="33">
        <f>IFERROR((HistoricalFS!C18-HistoricalFS!C24)/(SUM(HistoricalFS!C47:C49)),0)</f>
        <v>0.64085611613768367</v>
      </c>
      <c r="D21" s="33">
        <f>IFERROR((HistoricalFS!D18-HistoricalFS!D24)/(SUM(HistoricalFS!D47:D49)),0)</f>
        <v>0.57306003897915803</v>
      </c>
      <c r="E21" s="33">
        <f>IFERROR((HistoricalFS!E18-HistoricalFS!E24)/(SUM(HistoricalFS!E47:E49)),0)</f>
        <v>0.58768836962175708</v>
      </c>
      <c r="F21" s="33">
        <f>IFERROR((HistoricalFS!F18-HistoricalFS!F24)/(SUM(HistoricalFS!F47:F49)),0)</f>
        <v>0.54533703753933382</v>
      </c>
      <c r="G21" s="33">
        <f>IFERROR((HistoricalFS!G18-HistoricalFS!G24)/(SUM(HistoricalFS!G47:G49)),0)</f>
        <v>0.59711304382827779</v>
      </c>
      <c r="H21" s="33">
        <f>IFERROR((HistoricalFS!H18-HistoricalFS!H24)/(SUM(HistoricalFS!H47:H49)),0)</f>
        <v>0.73298465306041727</v>
      </c>
      <c r="I21" s="33">
        <f>IFERROR((HistoricalFS!I18-HistoricalFS!I24)/(SUM(HistoricalFS!I47:I49)),0)</f>
        <v>0.76675227788711109</v>
      </c>
      <c r="J21" s="33">
        <f>IFERROR((HistoricalFS!J18-HistoricalFS!J24)/(SUM(HistoricalFS!J47:J49)),0)</f>
        <v>0.68196439988381308</v>
      </c>
      <c r="K21" s="33">
        <f>IFERROR((HistoricalFS!K18-HistoricalFS!K24)/(SUM(HistoricalFS!K47:K49)),0)</f>
        <v>0.80907291075721266</v>
      </c>
      <c r="L21" s="33">
        <f>IFERROR((HistoricalFS!L18-HistoricalFS!L24)/(SUM(HistoricalFS!L47:L49)),0)</f>
        <v>0.81026243966466927</v>
      </c>
      <c r="M21" s="32"/>
      <c r="N21" s="32"/>
      <c r="O21" s="45">
        <f t="shared" si="3"/>
        <v>0.67450912873594338</v>
      </c>
      <c r="P21" s="45">
        <f t="shared" si="1"/>
        <v>0.66141025801074838</v>
      </c>
    </row>
    <row r="22" spans="2:16" x14ac:dyDescent="0.35">
      <c r="B22" t="s">
        <v>141</v>
      </c>
      <c r="C22" s="34">
        <f>HistoricalFS!C44</f>
        <v>0.76132473002280432</v>
      </c>
      <c r="D22" s="34">
        <f>HistoricalFS!D44</f>
        <v>0.73899269079370566</v>
      </c>
      <c r="E22" s="34">
        <f>HistoricalFS!E44</f>
        <v>0.75162250369815975</v>
      </c>
      <c r="F22" s="34">
        <f>HistoricalFS!F44</f>
        <v>0.60041775476987924</v>
      </c>
      <c r="G22" s="34">
        <f>HistoricalFS!G44</f>
        <v>0.58103692408234386</v>
      </c>
      <c r="H22" s="34">
        <f>HistoricalFS!H44</f>
        <v>0.65149437543526934</v>
      </c>
      <c r="I22" s="34">
        <f>HistoricalFS!I44</f>
        <v>0.58789083559104749</v>
      </c>
      <c r="J22" s="34">
        <f>HistoricalFS!J44</f>
        <v>0.6165588700159127</v>
      </c>
      <c r="K22" s="34">
        <f>HistoricalFS!K44</f>
        <v>0.64051539313089423</v>
      </c>
      <c r="L22" s="34">
        <f>HistoricalFS!L44</f>
        <v>0.66100713893874996</v>
      </c>
      <c r="O22" s="37">
        <f t="shared" si="3"/>
        <v>0.65908612164787672</v>
      </c>
      <c r="P22" s="37">
        <f t="shared" si="1"/>
        <v>0.64600488428308178</v>
      </c>
    </row>
    <row r="23" spans="2:16" x14ac:dyDescent="0.35">
      <c r="B23" t="s">
        <v>142</v>
      </c>
      <c r="C23" s="34">
        <f>IFERROR(HistoricalFS!C33/SUM(HistoricalFS!C47:C48),0)</f>
        <v>0.52087187772890009</v>
      </c>
      <c r="D23" s="34">
        <f>IFERROR(HistoricalFS!D33/SUM(HistoricalFS!D47:D48),0)</f>
        <v>0.45858959350875483</v>
      </c>
      <c r="E23" s="34">
        <f>IFERROR(HistoricalFS!E33/SUM(HistoricalFS!E47:E48),0)</f>
        <v>0.4798539487160064</v>
      </c>
      <c r="F23" s="34">
        <f>IFERROR(HistoricalFS!F33/SUM(HistoricalFS!F47:F48),0)</f>
        <v>0.47835913205499447</v>
      </c>
      <c r="G23" s="34">
        <f>IFERROR(HistoricalFS!G33/SUM(HistoricalFS!G47:G48),0)</f>
        <v>0.52334767365057011</v>
      </c>
      <c r="H23" s="34">
        <f>IFERROR(HistoricalFS!H33/SUM(HistoricalFS!H47:H48),0)</f>
        <v>0.65109453007954288</v>
      </c>
      <c r="I23" s="34">
        <f>IFERROR(HistoricalFS!I33/SUM(HistoricalFS!I47:I48),0)</f>
        <v>0.67592024091876723</v>
      </c>
      <c r="J23" s="34">
        <f>IFERROR(HistoricalFS!J33/SUM(HistoricalFS!J47:J48),0)</f>
        <v>0.60087615928704685</v>
      </c>
      <c r="K23" s="34">
        <f>IFERROR(HistoricalFS!K33/SUM(HistoricalFS!K47:K48),0)</f>
        <v>0.7133237802914606</v>
      </c>
      <c r="L23" s="34">
        <f>IFERROR(HistoricalFS!L33/SUM(HistoricalFS!L47:L48),0)</f>
        <v>0.73914488610112361</v>
      </c>
      <c r="O23" s="37">
        <f t="shared" si="3"/>
        <v>0.58413818223371672</v>
      </c>
      <c r="P23" s="37">
        <f t="shared" si="1"/>
        <v>0.56211191646880843</v>
      </c>
    </row>
    <row r="24" spans="2:16" x14ac:dyDescent="0.35">
      <c r="B24" t="s">
        <v>143</v>
      </c>
      <c r="C24" s="37">
        <f>IFERROR(C22*C23,0)</f>
        <v>0.39655264168842602</v>
      </c>
      <c r="D24" s="37">
        <f t="shared" ref="D24:L24" si="5">IFERROR(D22*D23,0)</f>
        <v>0.33889435767702641</v>
      </c>
      <c r="E24" s="37">
        <f t="shared" si="5"/>
        <v>0.36066902634337306</v>
      </c>
      <c r="F24" s="37">
        <f t="shared" si="5"/>
        <v>0.28721531604212797</v>
      </c>
      <c r="G24" s="37">
        <f t="shared" si="5"/>
        <v>0.30408432252357759</v>
      </c>
      <c r="H24" s="37">
        <f t="shared" si="5"/>
        <v>0.42418442422349195</v>
      </c>
      <c r="I24" s="37">
        <f t="shared" si="5"/>
        <v>0.39736731522663621</v>
      </c>
      <c r="J24" s="37">
        <f t="shared" si="5"/>
        <v>0.3704755257895232</v>
      </c>
      <c r="K24" s="37">
        <f t="shared" si="5"/>
        <v>0.45689486156300052</v>
      </c>
      <c r="L24" s="37">
        <f t="shared" si="5"/>
        <v>0.48858004642291192</v>
      </c>
      <c r="O24" s="37">
        <f t="shared" si="3"/>
        <v>0.38249178375000958</v>
      </c>
      <c r="P24" s="37">
        <f t="shared" si="1"/>
        <v>0.38351408373897461</v>
      </c>
    </row>
    <row r="25" spans="2:16" x14ac:dyDescent="0.35">
      <c r="B25" s="35" t="s">
        <v>144</v>
      </c>
      <c r="C25" s="38">
        <f>IFERROR((HistoricalFS!C18-HistoricalFS!C24)/HistoricalFS!C21,0)</f>
        <v>607.2467876810116</v>
      </c>
      <c r="D25" s="38">
        <f>IFERROR((HistoricalFS!D18-HistoricalFS!D24)/HistoricalFS!D21,0)</f>
        <v>261.82097208938359</v>
      </c>
      <c r="E25" s="38">
        <f>IFERROR((HistoricalFS!E18-HistoricalFS!E24)/HistoricalFS!E21,0)</f>
        <v>486.89495798319325</v>
      </c>
      <c r="F25" s="38">
        <f>IFERROR((HistoricalFS!F18-HistoricalFS!F24)/HistoricalFS!F21,0)</f>
        <v>439.26308675350197</v>
      </c>
      <c r="G25" s="38">
        <f>IFERROR((HistoricalFS!G18-HistoricalFS!G24)/HistoricalFS!G21,0)</f>
        <v>624.39020182853187</v>
      </c>
      <c r="H25" s="38">
        <f>IFERROR((HistoricalFS!H18-HistoricalFS!H24)/HistoricalFS!H21,0)</f>
        <v>766.15785964327381</v>
      </c>
      <c r="I25" s="38">
        <f>IFERROR((HistoricalFS!I18-HistoricalFS!I24)/HistoricalFS!I21,0)</f>
        <v>684.83489777549175</v>
      </c>
      <c r="J25" s="38">
        <f>IFERROR((HistoricalFS!J18-HistoricalFS!J24)/HistoricalFS!J21,0)</f>
        <v>1304.475837381744</v>
      </c>
      <c r="K25" s="38">
        <f>IFERROR((HistoricalFS!K18-HistoricalFS!K24)/HistoricalFS!K21,0)</f>
        <v>1262.5306258322237</v>
      </c>
      <c r="L25" s="38">
        <f>IFERROR((HistoricalFS!L18-HistoricalFS!L24)/HistoricalFS!L21,0)</f>
        <v>712.6195843606904</v>
      </c>
      <c r="M25" s="35"/>
      <c r="N25" s="35"/>
      <c r="O25" s="38">
        <f t="shared" si="3"/>
        <v>715.02348113290452</v>
      </c>
      <c r="P25" s="38">
        <f t="shared" si="1"/>
        <v>654.61254980201181</v>
      </c>
    </row>
    <row r="26" spans="2:16" x14ac:dyDescent="0.35">
      <c r="C26" s="30"/>
      <c r="D26" s="30"/>
      <c r="E26" s="30"/>
      <c r="F26" s="30"/>
      <c r="G26" s="30"/>
      <c r="H26" s="30"/>
      <c r="I26" s="30"/>
      <c r="J26" s="30"/>
      <c r="K26" s="30"/>
      <c r="L26" s="30"/>
      <c r="P26" s="44"/>
    </row>
    <row r="27" spans="2:16" x14ac:dyDescent="0.35">
      <c r="B27" s="32" t="s">
        <v>145</v>
      </c>
      <c r="C27" s="39">
        <f>IFERROR(HistoricalFS!C6/HistoricalFS!C59,0)</f>
        <v>17.28479685081377</v>
      </c>
      <c r="D27" s="39">
        <f>IFERROR(HistoricalFS!D6/HistoricalFS!D59,0)</f>
        <v>16.198449832046499</v>
      </c>
      <c r="E27" s="39">
        <f>IFERROR(HistoricalFS!E6/HistoricalFS!E59,0)</f>
        <v>11.97923811978351</v>
      </c>
      <c r="F27" s="39">
        <f>IFERROR(HistoricalFS!F6/HistoricalFS!F59,0)</f>
        <v>19.273399207018201</v>
      </c>
      <c r="G27" s="39">
        <f>IFERROR(HistoricalFS!G6/HistoricalFS!G59,0)</f>
        <v>19.689591078066915</v>
      </c>
      <c r="H27" s="39">
        <f>IFERROR(HistoricalFS!H6/HistoricalFS!H59,0)</f>
        <v>24.633226369876922</v>
      </c>
      <c r="I27" s="39">
        <f>IFERROR(HistoricalFS!I6/HistoricalFS!I59,0)</f>
        <v>23.990173095593285</v>
      </c>
      <c r="J27" s="39">
        <f>IFERROR(HistoricalFS!J6/HistoricalFS!J59,0)</f>
        <v>16.874062923826699</v>
      </c>
      <c r="K27" s="39">
        <f>IFERROR(HistoricalFS!K6/HistoricalFS!K59,0)</f>
        <v>15.959450554805738</v>
      </c>
      <c r="L27" s="39">
        <f>IFERROR(HistoricalFS!L6/HistoricalFS!L59,0)</f>
        <v>20.104821482285882</v>
      </c>
      <c r="M27" s="32"/>
      <c r="N27" s="32"/>
      <c r="O27" s="39">
        <f t="shared" ref="O27:O31" si="6">IFERROR(AVERAGE(C27:L27),0)</f>
        <v>18.598720951411742</v>
      </c>
      <c r="P27" s="39">
        <f t="shared" si="1"/>
        <v>18.279098028915985</v>
      </c>
    </row>
    <row r="28" spans="2:16" x14ac:dyDescent="0.35">
      <c r="B28" t="s">
        <v>146</v>
      </c>
      <c r="C28" s="31">
        <f>IFERROR(HistoricalFS!C9/HistoricalFS!C50,0)</f>
        <v>0.68779205205266702</v>
      </c>
      <c r="D28" s="31">
        <f>IFERROR(HistoricalFS!D9/HistoricalFS!D50,0)</f>
        <v>0.61050633398461718</v>
      </c>
      <c r="E28" s="31">
        <f>IFERROR(HistoricalFS!E9/HistoricalFS!E50,0)</f>
        <v>0.52384357868623332</v>
      </c>
      <c r="F28" s="31">
        <f>IFERROR(HistoricalFS!F9/HistoricalFS!F50,0)</f>
        <v>0.53416484977942247</v>
      </c>
      <c r="G28" s="31">
        <f>IFERROR(HistoricalFS!G9/HistoricalFS!G50,0)</f>
        <v>0.46450509374484017</v>
      </c>
      <c r="H28" s="31">
        <f>IFERROR(HistoricalFS!H9/HistoricalFS!H50,0)</f>
        <v>0.48181527719599943</v>
      </c>
      <c r="I28" s="31">
        <f>IFERROR(HistoricalFS!I9/HistoricalFS!I50,0)</f>
        <v>0.54599606833617809</v>
      </c>
      <c r="J28" s="31">
        <f>IFERROR(HistoricalFS!J9/HistoricalFS!J50,0)</f>
        <v>0.49089033342501032</v>
      </c>
      <c r="K28" s="31">
        <f>IFERROR(HistoricalFS!K9/HistoricalFS!K50,0)</f>
        <v>0.49552156787808305</v>
      </c>
      <c r="L28" s="31">
        <f>IFERROR(HistoricalFS!L9/HistoricalFS!L50,0)</f>
        <v>0.41435568292719388</v>
      </c>
      <c r="O28" s="31">
        <f t="shared" si="6"/>
        <v>0.5249390838010245</v>
      </c>
      <c r="P28" s="31">
        <f t="shared" si="1"/>
        <v>0.50968257328215816</v>
      </c>
    </row>
    <row r="29" spans="2:16" x14ac:dyDescent="0.35">
      <c r="B29" t="s">
        <v>147</v>
      </c>
      <c r="C29" s="31">
        <f>IFERROR(HistoricalFS!C9/HistoricalFS!C60,0)</f>
        <v>0.79995687583938091</v>
      </c>
      <c r="D29" s="31">
        <f>IFERROR(HistoricalFS!D9/HistoricalFS!D60,0)</f>
        <v>0.95259429840068643</v>
      </c>
      <c r="E29" s="31">
        <f>IFERROR(HistoricalFS!E9/HistoricalFS!E60,0)</f>
        <v>0.83877850668485254</v>
      </c>
      <c r="F29" s="31">
        <f>IFERROR(HistoricalFS!F9/HistoricalFS!F60,0)</f>
        <v>0.70746328833369188</v>
      </c>
      <c r="G29" s="31">
        <f>IFERROR(HistoricalFS!G9/HistoricalFS!G60,0)</f>
        <v>0.58716033993898331</v>
      </c>
      <c r="H29" s="31">
        <f>IFERROR(HistoricalFS!H9/HistoricalFS!H60,0)</f>
        <v>0.64266325483355813</v>
      </c>
      <c r="I29" s="31">
        <f>IFERROR(HistoricalFS!I9/HistoricalFS!I60,0)</f>
        <v>0.75929390136571084</v>
      </c>
      <c r="J29" s="31">
        <f>IFERROR(HistoricalFS!J9/HistoricalFS!J60,0)</f>
        <v>0.587683920163246</v>
      </c>
      <c r="K29" s="31">
        <f>IFERROR(HistoricalFS!K9/HistoricalFS!K60,0)</f>
        <v>0.560499208316387</v>
      </c>
      <c r="L29" s="31">
        <f>IFERROR(HistoricalFS!L9/HistoricalFS!L60,0)</f>
        <v>0.41675598293719157</v>
      </c>
      <c r="O29" s="31">
        <f t="shared" si="6"/>
        <v>0.68528495768136888</v>
      </c>
      <c r="P29" s="31">
        <f t="shared" si="1"/>
        <v>0.675063271583625</v>
      </c>
    </row>
    <row r="30" spans="2:16" x14ac:dyDescent="0.35">
      <c r="B30" t="s">
        <v>148</v>
      </c>
      <c r="C30" s="31">
        <f>IFERROR(HistoricalFS!C6/HistoricalFS!C53,0)</f>
        <v>2.6908895974953251</v>
      </c>
      <c r="D30" s="31">
        <f>IFERROR(HistoricalFS!D6/AVERAGE(HistoricalFS!C53:D53),0)</f>
        <v>2.6805904476109159</v>
      </c>
      <c r="E30" s="31">
        <f>IFERROR(HistoricalFS!E6/AVERAGE(HistoricalFS!D53:E53),0)</f>
        <v>2.69315159694859</v>
      </c>
      <c r="F30" s="31">
        <f>IFERROR(HistoricalFS!F6/AVERAGE(HistoricalFS!E53:F53),0)</f>
        <v>2.4040237999217768</v>
      </c>
      <c r="G30" s="31">
        <f>IFERROR(HistoricalFS!G6/AVERAGE(HistoricalFS!F53:G53),0)</f>
        <v>2.1886451158828946</v>
      </c>
      <c r="H30" s="31">
        <f>IFERROR(HistoricalFS!H6/AVERAGE(HistoricalFS!G53:H53),0)</f>
        <v>2.5518388674790509</v>
      </c>
      <c r="I30" s="31">
        <f>IFERROR(HistoricalFS!I6/AVERAGE(HistoricalFS!H53:I53),0)</f>
        <v>2.8320678970809574</v>
      </c>
      <c r="J30" s="31">
        <f>IFERROR(HistoricalFS!J6/AVERAGE(HistoricalFS!I53:J53),0)</f>
        <v>2.5313975818446628</v>
      </c>
      <c r="K30" s="31">
        <f>IFERROR(HistoricalFS!K6/AVERAGE(HistoricalFS!J53:K53),0)</f>
        <v>3.0265488325782361</v>
      </c>
      <c r="L30" s="31">
        <f>IFERROR(HistoricalFS!L6/AVERAGE(HistoricalFS!K53:L53),0)</f>
        <v>3.5528402802147334</v>
      </c>
      <c r="O30" s="31">
        <f t="shared" si="6"/>
        <v>2.7151994017057142</v>
      </c>
      <c r="P30" s="31">
        <f t="shared" si="1"/>
        <v>2.6857400225531203</v>
      </c>
    </row>
    <row r="31" spans="2:16" x14ac:dyDescent="0.35">
      <c r="B31" s="35" t="s">
        <v>149</v>
      </c>
      <c r="C31" s="38">
        <f>IFERROR(HistoricalFS!C6/SUM(HistoricalFS!C47:C48),0)</f>
        <v>0.92145874005368755</v>
      </c>
      <c r="D31" s="38">
        <f>IFERROR(HistoricalFS!D6/SUM(HistoricalFS!D47:D48),0)</f>
        <v>0.82743951593321752</v>
      </c>
      <c r="E31" s="38">
        <f>IFERROR(HistoricalFS!E6/SUM(HistoricalFS!E47:E48),0)</f>
        <v>0.81736335633885671</v>
      </c>
      <c r="F31" s="38">
        <f>IFERROR(HistoricalFS!F6/SUM(HistoricalFS!F47:F48),0)</f>
        <v>0.75662989714317919</v>
      </c>
      <c r="G31" s="38">
        <f>IFERROR(HistoricalFS!G6/SUM(HistoricalFS!G47:G48),0)</f>
        <v>0.81623233103563475</v>
      </c>
      <c r="H31" s="38">
        <f>IFERROR(HistoricalFS!H6/SUM(HistoricalFS!H47:H48),0)</f>
        <v>0.97100290654620558</v>
      </c>
      <c r="I31" s="38">
        <f>IFERROR(HistoricalFS!I6/SUM(HistoricalFS!I47:I48),0)</f>
        <v>1.0255044952473606</v>
      </c>
      <c r="J31" s="38">
        <f>IFERROR(HistoricalFS!J6/SUM(HistoricalFS!J47:J48),0)</f>
        <v>0.91175245278967076</v>
      </c>
      <c r="K31" s="38">
        <f>IFERROR(HistoricalFS!K6/SUM(HistoricalFS!K47:K48),0)</f>
        <v>1.075585980589761</v>
      </c>
      <c r="L31" s="38">
        <f>IFERROR(HistoricalFS!L6/SUM(HistoricalFS!L47:L48),0)</f>
        <v>1.0877304767933711</v>
      </c>
      <c r="M31" s="35"/>
      <c r="N31" s="35"/>
      <c r="O31" s="38">
        <f t="shared" si="6"/>
        <v>0.92107001524709453</v>
      </c>
      <c r="P31" s="38">
        <f t="shared" si="1"/>
        <v>0.91660559642167916</v>
      </c>
    </row>
    <row r="32" spans="2:16" x14ac:dyDescent="0.35">
      <c r="C32" s="31"/>
      <c r="D32" s="31"/>
      <c r="E32" s="31"/>
      <c r="F32" s="31"/>
      <c r="G32" s="31"/>
      <c r="H32" s="31"/>
      <c r="I32" s="31"/>
      <c r="J32" s="31"/>
      <c r="K32" s="31"/>
      <c r="L32" s="31"/>
      <c r="P32" s="44"/>
    </row>
    <row r="33" spans="2:16" x14ac:dyDescent="0.35">
      <c r="B33" s="40" t="s">
        <v>158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32"/>
      <c r="N33" s="32"/>
      <c r="O33" s="32"/>
      <c r="P33" s="47"/>
    </row>
    <row r="34" spans="2:16" x14ac:dyDescent="0.35">
      <c r="B34" t="s">
        <v>153</v>
      </c>
      <c r="C34" s="42">
        <f>IFERROR(365/C27,0)</f>
        <v>21.116823249375695</v>
      </c>
      <c r="D34" s="42">
        <f t="shared" ref="D34:L34" si="7">IFERROR(365/D27,0)</f>
        <v>22.533020368275956</v>
      </c>
      <c r="E34" s="42">
        <f t="shared" si="7"/>
        <v>30.469383474163408</v>
      </c>
      <c r="F34" s="42">
        <f t="shared" si="7"/>
        <v>18.9380189804344</v>
      </c>
      <c r="G34" s="42">
        <f t="shared" si="7"/>
        <v>18.537713584442557</v>
      </c>
      <c r="H34" s="42">
        <f t="shared" si="7"/>
        <v>14.817385044061677</v>
      </c>
      <c r="I34" s="42">
        <f t="shared" si="7"/>
        <v>15.214563002342249</v>
      </c>
      <c r="J34" s="42">
        <f t="shared" si="7"/>
        <v>21.630830799179297</v>
      </c>
      <c r="K34" s="42">
        <f t="shared" si="7"/>
        <v>22.870461532906003</v>
      </c>
      <c r="L34" s="42">
        <f t="shared" si="7"/>
        <v>18.154849090383475</v>
      </c>
      <c r="O34" s="42">
        <f t="shared" ref="O34:O37" si="8">IFERROR(AVERAGE(C34:L34),0)</f>
        <v>20.428304912556474</v>
      </c>
      <c r="P34" s="42">
        <f t="shared" si="1"/>
        <v>20.027421114905046</v>
      </c>
    </row>
    <row r="35" spans="2:16" x14ac:dyDescent="0.35">
      <c r="B35" t="s">
        <v>150</v>
      </c>
      <c r="C35" s="42">
        <f>IFERROR(365/C28,0)</f>
        <v>530.68365490802512</v>
      </c>
      <c r="D35" s="42">
        <f t="shared" ref="D35:L35" si="9">IFERROR(365/D28,0)</f>
        <v>597.86439498135792</v>
      </c>
      <c r="E35" s="42">
        <f t="shared" si="9"/>
        <v>696.77288192669459</v>
      </c>
      <c r="F35" s="42">
        <f t="shared" si="9"/>
        <v>683.30965646789139</v>
      </c>
      <c r="G35" s="42">
        <f t="shared" si="9"/>
        <v>785.78255634910249</v>
      </c>
      <c r="H35" s="42">
        <f t="shared" si="9"/>
        <v>757.55173668252178</v>
      </c>
      <c r="I35" s="42">
        <f t="shared" si="9"/>
        <v>668.50298228752797</v>
      </c>
      <c r="J35" s="42">
        <f t="shared" si="9"/>
        <v>743.546929216031</v>
      </c>
      <c r="K35" s="42">
        <f t="shared" si="9"/>
        <v>736.5976047480616</v>
      </c>
      <c r="L35" s="42">
        <f t="shared" si="9"/>
        <v>880.88571012584339</v>
      </c>
      <c r="O35" s="42">
        <f t="shared" si="8"/>
        <v>708.14981076930565</v>
      </c>
      <c r="P35" s="42">
        <f t="shared" si="1"/>
        <v>716.6852433373781</v>
      </c>
    </row>
    <row r="36" spans="2:16" x14ac:dyDescent="0.35">
      <c r="B36" t="s">
        <v>151</v>
      </c>
      <c r="C36" s="42">
        <f>IFERROR(365/C29,0)</f>
        <v>456.2745955736824</v>
      </c>
      <c r="D36" s="42">
        <f t="shared" ref="D36:L36" si="10">IFERROR(365/D29,0)</f>
        <v>383.16416612276566</v>
      </c>
      <c r="E36" s="42">
        <f t="shared" si="10"/>
        <v>435.15659627785203</v>
      </c>
      <c r="F36" s="42">
        <f t="shared" si="10"/>
        <v>515.92783119488047</v>
      </c>
      <c r="G36" s="42">
        <f t="shared" si="10"/>
        <v>621.63599135106801</v>
      </c>
      <c r="H36" s="42">
        <f t="shared" si="10"/>
        <v>567.94907325848362</v>
      </c>
      <c r="I36" s="42">
        <f t="shared" si="10"/>
        <v>480.70977436206118</v>
      </c>
      <c r="J36" s="42">
        <f t="shared" si="10"/>
        <v>621.08216249750512</v>
      </c>
      <c r="K36" s="42">
        <f t="shared" si="10"/>
        <v>651.20520169221561</v>
      </c>
      <c r="L36" s="42">
        <f t="shared" si="10"/>
        <v>875.81226171624849</v>
      </c>
      <c r="O36" s="42">
        <f t="shared" si="8"/>
        <v>560.89176540467633</v>
      </c>
      <c r="P36" s="42">
        <f t="shared" si="1"/>
        <v>541.9384522266821</v>
      </c>
    </row>
    <row r="37" spans="2:16" x14ac:dyDescent="0.35">
      <c r="B37" s="35" t="s">
        <v>152</v>
      </c>
      <c r="C37" s="43">
        <f>IFERROR(SUM(C36,C34)-C35,0)</f>
        <v>-53.292236084967044</v>
      </c>
      <c r="D37" s="43">
        <f t="shared" ref="D37:L37" si="11">IFERROR(SUM(D36,D34)-D35,0)</f>
        <v>-192.16720849031628</v>
      </c>
      <c r="E37" s="43">
        <f t="shared" si="11"/>
        <v>-231.14690217467916</v>
      </c>
      <c r="F37" s="43">
        <f t="shared" si="11"/>
        <v>-148.44380629257648</v>
      </c>
      <c r="G37" s="43">
        <f t="shared" si="11"/>
        <v>-145.60885141359188</v>
      </c>
      <c r="H37" s="43">
        <f t="shared" si="11"/>
        <v>-174.78527837997649</v>
      </c>
      <c r="I37" s="43">
        <f t="shared" si="11"/>
        <v>-172.57864492312456</v>
      </c>
      <c r="J37" s="43">
        <f t="shared" si="11"/>
        <v>-100.83393591934657</v>
      </c>
      <c r="K37" s="43">
        <f t="shared" si="11"/>
        <v>-62.521941522939983</v>
      </c>
      <c r="L37" s="43">
        <f t="shared" si="11"/>
        <v>13.081400680788533</v>
      </c>
      <c r="M37" s="35"/>
      <c r="N37" s="35"/>
      <c r="O37" s="43">
        <f t="shared" si="8"/>
        <v>-126.82974045207297</v>
      </c>
      <c r="P37" s="43">
        <f t="shared" si="1"/>
        <v>-147.02632885308418</v>
      </c>
    </row>
    <row r="38" spans="2:16" x14ac:dyDescent="0.35">
      <c r="C38" s="30"/>
      <c r="D38" s="30"/>
      <c r="E38" s="30"/>
      <c r="F38" s="30"/>
      <c r="G38" s="30"/>
      <c r="H38" s="30"/>
      <c r="I38" s="30"/>
      <c r="J38" s="30"/>
      <c r="K38" s="30"/>
      <c r="L38" s="30"/>
      <c r="P38" s="44"/>
    </row>
    <row r="39" spans="2:16" x14ac:dyDescent="0.35">
      <c r="B39" s="32" t="s">
        <v>154</v>
      </c>
      <c r="C39" s="39">
        <f>IFERROR(HistoricalFS!C79/HistoricalFS!C6,0)</f>
        <v>7.2952421926879233E-3</v>
      </c>
      <c r="D39" s="39">
        <f>IFERROR(HistoricalFS!D79/HistoricalFS!D6,0)</f>
        <v>6.9967184469862786E-3</v>
      </c>
      <c r="E39" s="39">
        <f>IFERROR(HistoricalFS!E79/HistoricalFS!E6,0)</f>
        <v>4.2615182010269847E-3</v>
      </c>
      <c r="F39" s="39">
        <f>IFERROR(HistoricalFS!F79/HistoricalFS!F6,0)</f>
        <v>6.7425695061725903E-3</v>
      </c>
      <c r="G39" s="39">
        <f>IFERROR(HistoricalFS!G79/HistoricalFS!G6,0)</f>
        <v>7.4100466020876037E-3</v>
      </c>
      <c r="H39" s="39">
        <f>IFERROR(HistoricalFS!H79/HistoricalFS!H6,0)</f>
        <v>7.3378411312873346E-3</v>
      </c>
      <c r="I39" s="39">
        <f>IFERROR(HistoricalFS!I79/HistoricalFS!I6,0)</f>
        <v>6.9515897214048189E-3</v>
      </c>
      <c r="J39" s="39">
        <f>IFERROR(HistoricalFS!J79/HistoricalFS!J6,0)</f>
        <v>7.7430439937384386E-3</v>
      </c>
      <c r="K39" s="39">
        <f>IFERROR(HistoricalFS!K79/HistoricalFS!K6,0)</f>
        <v>8.6958438114932233E-3</v>
      </c>
      <c r="L39" s="39">
        <f>IFERROR(HistoricalFS!L79/HistoricalFS!L6,0)</f>
        <v>1.108175137317354E-2</v>
      </c>
      <c r="M39" s="32"/>
      <c r="N39" s="32"/>
      <c r="O39" s="39">
        <f t="shared" ref="O39:O41" si="12">IFERROR(AVERAGE(C39:L39),0)</f>
        <v>7.4516164980058721E-3</v>
      </c>
      <c r="P39" s="39">
        <f t="shared" si="1"/>
        <v>7.316541661987629E-3</v>
      </c>
    </row>
    <row r="40" spans="2:16" x14ac:dyDescent="0.35">
      <c r="B40" t="s">
        <v>155</v>
      </c>
      <c r="C40" s="31">
        <f>IFERROR(HistoricalFS!C79/HistoricalFS!C64,0)</f>
        <v>5.581563095277282E-3</v>
      </c>
      <c r="D40" s="31">
        <f>IFERROR(HistoricalFS!D79/HistoricalFS!D64,0)</f>
        <v>4.7321892228126385E-3</v>
      </c>
      <c r="E40" s="31">
        <f>IFERROR(HistoricalFS!E79/HistoricalFS!E64,0)</f>
        <v>2.8715187713691174E-3</v>
      </c>
      <c r="F40" s="31">
        <f>IFERROR(HistoricalFS!F79/HistoricalFS!F64,0)</f>
        <v>4.3072923235125777E-3</v>
      </c>
      <c r="G40" s="31">
        <f>IFERROR(HistoricalFS!G79/HistoricalFS!G64,0)</f>
        <v>4.9484305747391974E-3</v>
      </c>
      <c r="H40" s="31">
        <f>IFERROR(HistoricalFS!H79/HistoricalFS!H64,0)</f>
        <v>5.7645458923918612E-3</v>
      </c>
      <c r="I40" s="31">
        <f>IFERROR(HistoricalFS!I79/HistoricalFS!I64,0)</f>
        <v>5.743848140577712E-3</v>
      </c>
      <c r="J40" s="31">
        <f>IFERROR(HistoricalFS!J79/HistoricalFS!J64,0)</f>
        <v>5.732721973773996E-3</v>
      </c>
      <c r="K40" s="31">
        <f>IFERROR(HistoricalFS!K79/HistoricalFS!K64,0)</f>
        <v>7.4429534548371814E-3</v>
      </c>
      <c r="L40" s="31">
        <f>IFERROR(HistoricalFS!L79/HistoricalFS!L64,0)</f>
        <v>9.3338972117918955E-3</v>
      </c>
      <c r="O40" s="31">
        <f t="shared" si="12"/>
        <v>5.6458960661083463E-3</v>
      </c>
      <c r="P40" s="31">
        <f t="shared" si="1"/>
        <v>5.6571425345256394E-3</v>
      </c>
    </row>
    <row r="41" spans="2:16" x14ac:dyDescent="0.35">
      <c r="B41" s="35" t="s">
        <v>156</v>
      </c>
      <c r="C41" s="38">
        <f>IFERROR(HistoricalFS!C79/HistoricalFS!C49,0)</f>
        <v>6.8241469816272966</v>
      </c>
      <c r="D41" s="38">
        <f>IFERROR(HistoricalFS!D79/HistoricalFS!D49,0)</f>
        <v>8.463251670378618</v>
      </c>
      <c r="E41" s="38">
        <f>IFERROR(HistoricalFS!E79/HistoricalFS!E49,0)</f>
        <v>15.327380952380953</v>
      </c>
      <c r="F41" s="38">
        <f>IFERROR(HistoricalFS!F79/HistoricalFS!F49,0)</f>
        <v>1.2002162551811137</v>
      </c>
      <c r="G41" s="38">
        <f>IFERROR(HistoricalFS!G79/HistoricalFS!G49,0)</f>
        <v>1.3477088948787064</v>
      </c>
      <c r="H41" s="38">
        <f>IFERROR(HistoricalFS!H79/HistoricalFS!H49,0)</f>
        <v>1.7839961513790892</v>
      </c>
      <c r="I41" s="38">
        <f>IFERROR(HistoricalFS!I79/HistoricalFS!I49,0)</f>
        <v>1.6109005358776629</v>
      </c>
      <c r="J41" s="38">
        <f>IFERROR(HistoricalFS!J79/HistoricalFS!J49,0)</f>
        <v>1.7335134956991727</v>
      </c>
      <c r="K41" s="38">
        <f>IFERROR(HistoricalFS!K79/HistoricalFS!K49,0)</f>
        <v>2.3019610599564206</v>
      </c>
      <c r="L41" s="38">
        <f>IFERROR(HistoricalFS!L79/HistoricalFS!L49,0)</f>
        <v>0.36430935449717805</v>
      </c>
      <c r="M41" s="35"/>
      <c r="N41" s="35"/>
      <c r="O41" s="38">
        <f t="shared" si="12"/>
        <v>4.095738535185621</v>
      </c>
      <c r="P41" s="38">
        <f t="shared" si="1"/>
        <v>1.7587548235391308</v>
      </c>
    </row>
  </sheetData>
  <mergeCells count="1">
    <mergeCell ref="B2:P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xr2:uid="{F8D15203-33BD-41E2-882B-3F3024F17B3D}">
          <x14:colorSeries rgb="FF376092"/>
          <x14:colorNegative rgb="FFD00000"/>
          <x14:colorAxis rgb="FF000000"/>
          <x14:colorMarkers theme="1"/>
          <x14:colorFirst rgb="FFD00000"/>
          <x14:colorLast rgb="FFD00000"/>
          <x14:colorHigh rgb="FF00B050"/>
          <x14:colorLow rgb="FFD00000"/>
          <x14:sparklines>
            <x14:sparkline>
              <xm:f>'Ratio Analysis'!C11:L11</xm:f>
              <xm:sqref>N11</xm:sqref>
            </x14:sparkline>
            <x14:sparkline>
              <xm:f>'Ratio Analysis'!C12:L12</xm:f>
              <xm:sqref>N12</xm:sqref>
            </x14:sparkline>
            <x14:sparkline>
              <xm:f>'Ratio Analysis'!C13:L13</xm:f>
              <xm:sqref>N13</xm:sqref>
            </x14:sparkline>
            <x14:sparkline>
              <xm:f>'Ratio Analysis'!C14:L14</xm:f>
              <xm:sqref>N14</xm:sqref>
            </x14:sparkline>
            <x14:sparkline>
              <xm:f>'Ratio Analysis'!C15:L15</xm:f>
              <xm:sqref>N15</xm:sqref>
            </x14:sparkline>
            <x14:sparkline>
              <xm:f>'Ratio Analysis'!C16:L16</xm:f>
              <xm:sqref>N16</xm:sqref>
            </x14:sparkline>
            <x14:sparkline>
              <xm:f>'Ratio Analysis'!C17:L17</xm:f>
              <xm:sqref>N17</xm:sqref>
            </x14:sparkline>
            <x14:sparkline>
              <xm:f>'Ratio Analysis'!C18:L18</xm:f>
              <xm:sqref>N18</xm:sqref>
            </x14:sparkline>
            <x14:sparkline>
              <xm:f>'Ratio Analysis'!C19:L19</xm:f>
              <xm:sqref>N19</xm:sqref>
            </x14:sparkline>
            <x14:sparkline>
              <xm:f>'Ratio Analysis'!C20:L20</xm:f>
              <xm:sqref>N20</xm:sqref>
            </x14:sparkline>
            <x14:sparkline>
              <xm:f>'Ratio Analysis'!C21:L21</xm:f>
              <xm:sqref>N21</xm:sqref>
            </x14:sparkline>
            <x14:sparkline>
              <xm:f>'Ratio Analysis'!C22:L22</xm:f>
              <xm:sqref>N22</xm:sqref>
            </x14:sparkline>
            <x14:sparkline>
              <xm:f>'Ratio Analysis'!C23:L23</xm:f>
              <xm:sqref>N23</xm:sqref>
            </x14:sparkline>
            <x14:sparkline>
              <xm:f>'Ratio Analysis'!C24:L24</xm:f>
              <xm:sqref>N24</xm:sqref>
            </x14:sparkline>
            <x14:sparkline>
              <xm:f>'Ratio Analysis'!C25:L25</xm:f>
              <xm:sqref>N25</xm:sqref>
            </x14:sparkline>
            <x14:sparkline>
              <xm:f>'Ratio Analysis'!C26:L26</xm:f>
              <xm:sqref>N26</xm:sqref>
            </x14:sparkline>
            <x14:sparkline>
              <xm:f>'Ratio Analysis'!C27:L27</xm:f>
              <xm:sqref>N27</xm:sqref>
            </x14:sparkline>
            <x14:sparkline>
              <xm:f>'Ratio Analysis'!C28:L28</xm:f>
              <xm:sqref>N28</xm:sqref>
            </x14:sparkline>
            <x14:sparkline>
              <xm:f>'Ratio Analysis'!C29:L29</xm:f>
              <xm:sqref>N29</xm:sqref>
            </x14:sparkline>
            <x14:sparkline>
              <xm:f>'Ratio Analysis'!C30:L30</xm:f>
              <xm:sqref>N30</xm:sqref>
            </x14:sparkline>
            <x14:sparkline>
              <xm:f>'Ratio Analysis'!C31:L31</xm:f>
              <xm:sqref>N31</xm:sqref>
            </x14:sparkline>
            <x14:sparkline>
              <xm:f>'Ratio Analysis'!C32:L32</xm:f>
              <xm:sqref>N32</xm:sqref>
            </x14:sparkline>
            <x14:sparkline>
              <xm:f>'Ratio Analysis'!C33:L33</xm:f>
              <xm:sqref>N33</xm:sqref>
            </x14:sparkline>
            <x14:sparkline>
              <xm:f>'Ratio Analysis'!C34:L34</xm:f>
              <xm:sqref>N34</xm:sqref>
            </x14:sparkline>
            <x14:sparkline>
              <xm:f>'Ratio Analysis'!C35:L35</xm:f>
              <xm:sqref>N35</xm:sqref>
            </x14:sparkline>
            <x14:sparkline>
              <xm:f>'Ratio Analysis'!C36:L36</xm:f>
              <xm:sqref>N36</xm:sqref>
            </x14:sparkline>
            <x14:sparkline>
              <xm:f>'Ratio Analysis'!C37:L37</xm:f>
              <xm:sqref>N37</xm:sqref>
            </x14:sparkline>
            <x14:sparkline>
              <xm:f>'Ratio Analysis'!C38:L38</xm:f>
              <xm:sqref>N38</xm:sqref>
            </x14:sparkline>
            <x14:sparkline>
              <xm:f>'Ratio Analysis'!C39:L39</xm:f>
              <xm:sqref>N39</xm:sqref>
            </x14:sparkline>
            <x14:sparkline>
              <xm:f>'Ratio Analysis'!C40:L40</xm:f>
              <xm:sqref>N40</xm:sqref>
            </x14:sparkline>
            <x14:sparkline>
              <xm:f>'Ratio Analysis'!C41:L41</xm:f>
              <xm:sqref>N41</xm:sqref>
            </x14:sparkline>
          </x14:sparklines>
        </x14:sparklineGroup>
        <x14:sparklineGroup displayEmptyCellsAs="gap" markers="1" high="1" xr2:uid="{4395523B-26C3-45D7-BD0F-6474E2137F90}">
          <x14:colorSeries rgb="FF376092"/>
          <x14:colorNegative rgb="FFD00000"/>
          <x14:colorAxis rgb="FF000000"/>
          <x14:colorMarkers theme="1"/>
          <x14:colorFirst rgb="FFD00000"/>
          <x14:colorLast rgb="FFD00000"/>
          <x14:colorHigh rgb="FF00B050"/>
          <x14:colorLow rgb="FFD00000"/>
          <x14:sparklines>
            <x14:sparkline>
              <xm:f>'Ratio Analysis'!D5:L5</xm:f>
              <xm:sqref>N5</xm:sqref>
            </x14:sparkline>
            <x14:sparkline>
              <xm:f>'Ratio Analysis'!D6:L6</xm:f>
              <xm:sqref>N6</xm:sqref>
            </x14:sparkline>
            <x14:sparkline>
              <xm:f>'Ratio Analysis'!D7:L7</xm:f>
              <xm:sqref>N7</xm:sqref>
            </x14:sparkline>
            <x14:sparkline>
              <xm:f>'Ratio Analysis'!D8:L8</xm:f>
              <xm:sqref>N8</xm:sqref>
            </x14:sparkline>
            <x14:sparkline>
              <xm:f>'Ratio Analysis'!D9:L9</xm:f>
              <xm:sqref>N9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67EF3-EE57-4987-80E1-5117D9376BDC}">
  <sheetPr>
    <tabColor rgb="FF002060"/>
  </sheetPr>
  <dimension ref="B3:O21"/>
  <sheetViews>
    <sheetView showGridLines="0" topLeftCell="C1" workbookViewId="0">
      <selection activeCell="N19" sqref="N19"/>
    </sheetView>
  </sheetViews>
  <sheetFormatPr defaultRowHeight="14.5" x14ac:dyDescent="0.35"/>
  <cols>
    <col min="1" max="1" width="1.81640625" customWidth="1"/>
    <col min="2" max="2" width="11.36328125" bestFit="1" customWidth="1"/>
    <col min="3" max="3" width="9.54296875" bestFit="1" customWidth="1"/>
    <col min="4" max="4" width="12.54296875" customWidth="1"/>
    <col min="5" max="5" width="18.08984375" customWidth="1"/>
    <col min="9" max="9" width="14.54296875" customWidth="1"/>
    <col min="10" max="10" width="14.1796875" customWidth="1"/>
    <col min="12" max="12" width="12.90625" customWidth="1"/>
    <col min="13" max="13" width="12.1796875" customWidth="1"/>
    <col min="14" max="14" width="13.90625" customWidth="1"/>
    <col min="15" max="15" width="14.453125" customWidth="1"/>
  </cols>
  <sheetData>
    <row r="3" spans="2:15" x14ac:dyDescent="0.35">
      <c r="B3" s="59" t="str">
        <f>'Data Sheet'!B1&amp; " - "&amp; 'Data Sheet'!A17&amp;" Forecasting "</f>
        <v xml:space="preserve">ITC LTD - Sales Forecasting </v>
      </c>
      <c r="C3" s="59"/>
      <c r="D3" s="59"/>
      <c r="E3" s="59"/>
      <c r="G3" s="59" t="str">
        <f>'Data Sheet'!B1&amp;" - "&amp; HistoricalFS!B18&amp;" Forecasting "</f>
        <v xml:space="preserve">ITC LTD - EBITDA Forecasting </v>
      </c>
      <c r="H3" s="59"/>
      <c r="I3" s="59"/>
      <c r="J3" s="59"/>
      <c r="L3" s="59" t="str">
        <f>'Data Sheet'!B1&amp; " - "&amp;HistoricalFS!B38&amp; " Forecasting "</f>
        <v xml:space="preserve">ITC LTD - Earnings Per Share  Forecasting </v>
      </c>
      <c r="M3" s="59"/>
      <c r="N3" s="59"/>
      <c r="O3" s="59"/>
    </row>
    <row r="4" spans="2:15" x14ac:dyDescent="0.35">
      <c r="B4" s="49" t="s">
        <v>162</v>
      </c>
      <c r="C4" s="12" t="s">
        <v>163</v>
      </c>
      <c r="D4" s="12" t="s">
        <v>1</v>
      </c>
      <c r="E4" s="12" t="s">
        <v>10</v>
      </c>
      <c r="G4" s="49" t="s">
        <v>162</v>
      </c>
      <c r="H4" s="12" t="s">
        <v>163</v>
      </c>
      <c r="I4" s="12" t="s">
        <v>67</v>
      </c>
      <c r="J4" s="12" t="s">
        <v>164</v>
      </c>
      <c r="L4" s="49" t="s">
        <v>162</v>
      </c>
      <c r="M4" s="12" t="s">
        <v>163</v>
      </c>
      <c r="N4" s="12" t="s">
        <v>31</v>
      </c>
      <c r="O4" s="12" t="s">
        <v>165</v>
      </c>
    </row>
    <row r="5" spans="2:15" x14ac:dyDescent="0.35">
      <c r="B5" s="8">
        <v>1</v>
      </c>
      <c r="C5" s="51">
        <f>'Data Sheet'!$B$16</f>
        <v>42825</v>
      </c>
      <c r="D5" s="52">
        <f t="array" ref="D5:D14">TRANSPOSE('Data Sheet'!B17:K17)</f>
        <v>42767.6</v>
      </c>
      <c r="E5" s="52"/>
      <c r="G5" s="8">
        <v>1</v>
      </c>
      <c r="H5" s="51">
        <f>'Data Sheet'!B16</f>
        <v>42825</v>
      </c>
      <c r="I5" s="52">
        <f t="array" ref="I5:I14">TRANSPOSE(HistoricalFS!C18:L18)</f>
        <v>30926.1</v>
      </c>
      <c r="J5" s="52"/>
      <c r="L5" s="8">
        <v>1</v>
      </c>
      <c r="M5" s="51">
        <f>'Data Sheet'!B16</f>
        <v>42825</v>
      </c>
      <c r="N5" s="52">
        <f t="array" ref="N5:N14">IFERROR(TRANSPOSE(HistoricalFS!C38:L38),0)</f>
        <v>19.901534484745707</v>
      </c>
      <c r="O5" s="52"/>
    </row>
    <row r="6" spans="2:15" x14ac:dyDescent="0.35">
      <c r="B6" s="8">
        <f>B5+1</f>
        <v>2</v>
      </c>
      <c r="C6" s="51">
        <f>C5+365</f>
        <v>43190</v>
      </c>
      <c r="D6" s="52">
        <v>43448.94</v>
      </c>
      <c r="E6" s="44">
        <f>IFERROR(D6/D5-1,0)</f>
        <v>1.5931218960147486E-2</v>
      </c>
      <c r="G6" s="8">
        <f>G5+1</f>
        <v>2</v>
      </c>
      <c r="H6" s="51">
        <f>H5+365</f>
        <v>43190</v>
      </c>
      <c r="I6" s="52">
        <v>31348.310000000005</v>
      </c>
      <c r="J6" s="44">
        <f>IFERROR(I6/I5-1,0)</f>
        <v>1.3652222556352234E-2</v>
      </c>
      <c r="L6" s="8">
        <f>L5+1</f>
        <v>2</v>
      </c>
      <c r="M6" s="51">
        <f>M5+365</f>
        <v>43190</v>
      </c>
      <c r="N6" s="52">
        <v>19.731234073236486</v>
      </c>
      <c r="O6" s="44">
        <f>IFERROR(N6/N5-1,0)</f>
        <v>-8.557149783588458E-3</v>
      </c>
    </row>
    <row r="7" spans="2:15" x14ac:dyDescent="0.35">
      <c r="B7" s="8">
        <f t="shared" ref="B7:B19" si="0">B6+1</f>
        <v>3</v>
      </c>
      <c r="C7" s="51">
        <f t="shared" ref="C7:C19" si="1">C6+365</f>
        <v>43555</v>
      </c>
      <c r="D7" s="52">
        <v>48339.58</v>
      </c>
      <c r="E7" s="44">
        <f t="shared" ref="E7:E19" si="2">IFERROR(D7/D6-1,0)</f>
        <v>0.11256062863673999</v>
      </c>
      <c r="G7" s="8">
        <f t="shared" ref="G7:G19" si="3">G6+1</f>
        <v>3</v>
      </c>
      <c r="H7" s="51">
        <f t="shared" ref="H7:H19" si="4">H6+365</f>
        <v>43555</v>
      </c>
      <c r="I7" s="52">
        <v>36160.910000000003</v>
      </c>
      <c r="J7" s="44">
        <f t="shared" ref="J7:J19" si="5">IFERROR(I7/I6-1,0)</f>
        <v>0.15352023761408495</v>
      </c>
      <c r="L7" s="8">
        <f t="shared" ref="L7:L19" si="6">L6+1</f>
        <v>3</v>
      </c>
      <c r="M7" s="51">
        <f t="shared" ref="M7:M15" si="7">M6+365</f>
        <v>43555</v>
      </c>
      <c r="N7" s="52">
        <v>23.150261856982041</v>
      </c>
      <c r="O7" s="44">
        <f t="shared" ref="O7:O19" si="8">IFERROR(N7/N6-1,0)</f>
        <v>0.17327997686587371</v>
      </c>
    </row>
    <row r="8" spans="2:15" x14ac:dyDescent="0.35">
      <c r="B8" s="8">
        <f t="shared" si="0"/>
        <v>4</v>
      </c>
      <c r="C8" s="51">
        <f t="shared" si="1"/>
        <v>43920</v>
      </c>
      <c r="D8" s="52">
        <v>49387.7</v>
      </c>
      <c r="E8" s="44">
        <f t="shared" si="2"/>
        <v>2.1682439110972673E-2</v>
      </c>
      <c r="G8" s="8">
        <f t="shared" si="3"/>
        <v>4</v>
      </c>
      <c r="H8" s="51">
        <f t="shared" si="4"/>
        <v>43920</v>
      </c>
      <c r="I8" s="52">
        <v>37392.139999999992</v>
      </c>
      <c r="J8" s="44">
        <f t="shared" si="5"/>
        <v>3.4048645346590689E-2</v>
      </c>
      <c r="L8" s="8">
        <f t="shared" si="6"/>
        <v>4</v>
      </c>
      <c r="M8" s="51">
        <f t="shared" si="7"/>
        <v>43920</v>
      </c>
      <c r="N8" s="52">
        <v>25.401522916971729</v>
      </c>
      <c r="O8" s="44">
        <f t="shared" si="8"/>
        <v>9.7245598079950701E-2</v>
      </c>
    </row>
    <row r="9" spans="2:15" x14ac:dyDescent="0.35">
      <c r="B9" s="8">
        <f t="shared" si="0"/>
        <v>5</v>
      </c>
      <c r="C9" s="51">
        <f t="shared" si="1"/>
        <v>44285</v>
      </c>
      <c r="D9" s="52">
        <v>49257.45</v>
      </c>
      <c r="E9" s="44">
        <f t="shared" si="2"/>
        <v>-2.6372963308678443E-3</v>
      </c>
      <c r="G9" s="8">
        <f t="shared" si="3"/>
        <v>5</v>
      </c>
      <c r="H9" s="51">
        <f t="shared" si="4"/>
        <v>44285</v>
      </c>
      <c r="I9" s="52">
        <v>37841.489999999991</v>
      </c>
      <c r="J9" s="44">
        <f t="shared" si="5"/>
        <v>1.2017231428851138E-2</v>
      </c>
      <c r="L9" s="8">
        <f t="shared" si="6"/>
        <v>5</v>
      </c>
      <c r="M9" s="51">
        <f t="shared" si="7"/>
        <v>44285</v>
      </c>
      <c r="N9" s="52">
        <v>25.658585727284535</v>
      </c>
      <c r="O9" s="44">
        <f t="shared" si="8"/>
        <v>1.011997631610706E-2</v>
      </c>
    </row>
    <row r="10" spans="2:15" x14ac:dyDescent="0.35">
      <c r="B10" s="8">
        <f t="shared" si="0"/>
        <v>6</v>
      </c>
      <c r="C10" s="51">
        <f t="shared" si="1"/>
        <v>44650</v>
      </c>
      <c r="D10" s="52">
        <v>60644.54</v>
      </c>
      <c r="E10" s="44">
        <f t="shared" si="2"/>
        <v>0.23117497962237188</v>
      </c>
      <c r="G10" s="8">
        <f t="shared" si="3"/>
        <v>6</v>
      </c>
      <c r="H10" s="51">
        <f t="shared" si="4"/>
        <v>44650</v>
      </c>
      <c r="I10" s="52">
        <v>47694.22</v>
      </c>
      <c r="J10" s="44">
        <f t="shared" si="5"/>
        <v>0.26036844743692744</v>
      </c>
      <c r="L10" s="8">
        <f t="shared" si="6"/>
        <v>6</v>
      </c>
      <c r="M10" s="51">
        <f t="shared" si="7"/>
        <v>44650</v>
      </c>
      <c r="N10" s="52">
        <v>32.998044355002314</v>
      </c>
      <c r="O10" s="44">
        <f t="shared" si="8"/>
        <v>0.28604299183618798</v>
      </c>
    </row>
    <row r="11" spans="2:15" x14ac:dyDescent="0.35">
      <c r="B11" s="8">
        <f t="shared" si="0"/>
        <v>7</v>
      </c>
      <c r="C11" s="51">
        <f t="shared" si="1"/>
        <v>45015</v>
      </c>
      <c r="D11" s="52">
        <v>70919.03</v>
      </c>
      <c r="E11" s="44">
        <f t="shared" si="2"/>
        <v>0.1694215175842706</v>
      </c>
      <c r="G11" s="8">
        <f t="shared" si="3"/>
        <v>7</v>
      </c>
      <c r="H11" s="51">
        <f t="shared" si="4"/>
        <v>45015</v>
      </c>
      <c r="I11" s="52">
        <v>55068.619999999995</v>
      </c>
      <c r="J11" s="44">
        <f t="shared" si="5"/>
        <v>0.15461831643331192</v>
      </c>
      <c r="L11" s="8">
        <f t="shared" si="6"/>
        <v>7</v>
      </c>
      <c r="M11" s="51">
        <f t="shared" si="7"/>
        <v>45015</v>
      </c>
      <c r="N11" s="52">
        <v>37.611393627293204</v>
      </c>
      <c r="O11" s="44">
        <f t="shared" si="8"/>
        <v>0.13980674801994852</v>
      </c>
    </row>
    <row r="12" spans="2:15" x14ac:dyDescent="0.35">
      <c r="B12" s="8">
        <f t="shared" si="0"/>
        <v>8</v>
      </c>
      <c r="C12" s="51">
        <f t="shared" si="1"/>
        <v>45380</v>
      </c>
      <c r="D12" s="52">
        <v>67931.94</v>
      </c>
      <c r="E12" s="44">
        <f t="shared" si="2"/>
        <v>-4.2119724423754779E-2</v>
      </c>
      <c r="G12" s="8">
        <f t="shared" si="3"/>
        <v>8</v>
      </c>
      <c r="H12" s="51">
        <f t="shared" si="4"/>
        <v>45380</v>
      </c>
      <c r="I12" s="52">
        <v>52536.100000000006</v>
      </c>
      <c r="J12" s="44">
        <f t="shared" si="5"/>
        <v>-4.5988441330107599E-2</v>
      </c>
      <c r="L12" s="8">
        <f t="shared" si="6"/>
        <v>8</v>
      </c>
      <c r="M12" s="51">
        <f t="shared" si="7"/>
        <v>45380</v>
      </c>
      <c r="N12" s="52">
        <v>35.859475998622315</v>
      </c>
      <c r="O12" s="44">
        <f t="shared" si="8"/>
        <v>-4.6579439359024088E-2</v>
      </c>
    </row>
    <row r="13" spans="2:15" x14ac:dyDescent="0.35">
      <c r="B13" s="8">
        <f t="shared" si="0"/>
        <v>9</v>
      </c>
      <c r="C13" s="51">
        <f t="shared" si="1"/>
        <v>45745</v>
      </c>
      <c r="D13" s="52">
        <v>75323.34</v>
      </c>
      <c r="E13" s="44">
        <f t="shared" si="2"/>
        <v>0.10880596078957838</v>
      </c>
      <c r="G13" s="8">
        <f t="shared" si="3"/>
        <v>9</v>
      </c>
      <c r="H13" s="51">
        <f t="shared" si="4"/>
        <v>45745</v>
      </c>
      <c r="I13" s="52">
        <v>58535.95</v>
      </c>
      <c r="J13" s="44">
        <f t="shared" si="5"/>
        <v>0.11420432807155434</v>
      </c>
      <c r="L13" s="8">
        <f t="shared" si="6"/>
        <v>9</v>
      </c>
      <c r="M13" s="51">
        <f t="shared" si="7"/>
        <v>45745</v>
      </c>
      <c r="N13" s="52">
        <v>39.918252211505418</v>
      </c>
      <c r="O13" s="44">
        <f t="shared" si="8"/>
        <v>0.11318559738683964</v>
      </c>
    </row>
    <row r="14" spans="2:15" x14ac:dyDescent="0.35">
      <c r="B14" s="8">
        <f t="shared" si="0"/>
        <v>10</v>
      </c>
      <c r="C14" s="51">
        <f t="shared" si="1"/>
        <v>46110</v>
      </c>
      <c r="D14" s="52">
        <v>78868.399999999994</v>
      </c>
      <c r="E14" s="44">
        <f t="shared" si="2"/>
        <v>4.7064561927285808E-2</v>
      </c>
      <c r="G14" s="8">
        <f t="shared" si="3"/>
        <v>10</v>
      </c>
      <c r="H14" s="51">
        <f t="shared" si="4"/>
        <v>46110</v>
      </c>
      <c r="I14" s="52">
        <v>62404.34</v>
      </c>
      <c r="J14" s="44">
        <f t="shared" si="5"/>
        <v>6.6085713138678059E-2</v>
      </c>
      <c r="L14" s="8">
        <f t="shared" si="6"/>
        <v>10</v>
      </c>
      <c r="M14" s="51">
        <f t="shared" si="7"/>
        <v>46110</v>
      </c>
      <c r="N14" s="52">
        <v>42.773773893611079</v>
      </c>
      <c r="O14" s="44">
        <f t="shared" si="8"/>
        <v>7.153423619290189E-2</v>
      </c>
    </row>
    <row r="15" spans="2:15" x14ac:dyDescent="0.35">
      <c r="B15" s="53">
        <f t="shared" si="0"/>
        <v>11</v>
      </c>
      <c r="C15" s="54">
        <f t="shared" si="1"/>
        <v>46475</v>
      </c>
      <c r="D15" s="55">
        <f>IFERROR(FORECAST(B15,$D$5:$D$14,$B$5:$B$14),0)</f>
        <v>82754.547999999995</v>
      </c>
      <c r="E15" s="56">
        <f t="shared" si="2"/>
        <v>4.927382830132232E-2</v>
      </c>
      <c r="G15" s="53">
        <f t="shared" si="3"/>
        <v>11</v>
      </c>
      <c r="H15" s="54">
        <f t="shared" si="4"/>
        <v>46475</v>
      </c>
      <c r="I15" s="55">
        <f>IFERROR(FORECAST(G15,$I$5:$I$14,$G$5:$G$14),0)</f>
        <v>65603.343333333338</v>
      </c>
      <c r="J15" s="56">
        <f t="shared" si="5"/>
        <v>5.1262513686281208E-2</v>
      </c>
      <c r="L15" s="53">
        <f t="shared" si="6"/>
        <v>11</v>
      </c>
      <c r="M15" s="54">
        <f t="shared" si="7"/>
        <v>46475</v>
      </c>
      <c r="N15" s="55">
        <f>IFERROR(FORECAST(L15,$N$5:$N$14,$L$5:$L$14),0)</f>
        <v>45.456222018343965</v>
      </c>
      <c r="O15" s="56">
        <f t="shared" si="8"/>
        <v>6.271244925464825E-2</v>
      </c>
    </row>
    <row r="16" spans="2:15" x14ac:dyDescent="0.35">
      <c r="B16" s="53">
        <f t="shared" si="0"/>
        <v>12</v>
      </c>
      <c r="C16" s="54">
        <f t="shared" si="1"/>
        <v>46840</v>
      </c>
      <c r="D16" s="55">
        <f t="shared" ref="D16:D19" si="9">IFERROR(FORECAST(B16,$D$5:$D$14,$B$5:$B$14),0)</f>
        <v>87130.129090909089</v>
      </c>
      <c r="E16" s="56">
        <f t="shared" si="2"/>
        <v>5.2874206876329044E-2</v>
      </c>
      <c r="G16" s="53">
        <f t="shared" si="3"/>
        <v>12</v>
      </c>
      <c r="H16" s="54">
        <f>H15+365</f>
        <v>46840</v>
      </c>
      <c r="I16" s="55">
        <f t="shared" ref="I16:I19" si="10">IFERROR(FORECAST(G16,$I$5:$I$14,$G$5:$G$14),0)</f>
        <v>69351.075212121214</v>
      </c>
      <c r="J16" s="56">
        <f t="shared" si="5"/>
        <v>5.7127147617241025E-2</v>
      </c>
      <c r="L16" s="53">
        <f t="shared" si="6"/>
        <v>12</v>
      </c>
      <c r="M16" s="54">
        <f>M15+365</f>
        <v>46840</v>
      </c>
      <c r="N16" s="55">
        <f>IFERROR(FORECAST(L16,$N$5:$N$14,$L$5:$L$14),0)</f>
        <v>48.211824582674595</v>
      </c>
      <c r="O16" s="56">
        <f t="shared" si="8"/>
        <v>6.0621020445091212E-2</v>
      </c>
    </row>
    <row r="17" spans="2:15" x14ac:dyDescent="0.35">
      <c r="B17" s="53">
        <f t="shared" si="0"/>
        <v>13</v>
      </c>
      <c r="C17" s="54">
        <f t="shared" si="1"/>
        <v>47205</v>
      </c>
      <c r="D17" s="55">
        <f t="shared" si="9"/>
        <v>91505.710181818184</v>
      </c>
      <c r="E17" s="56">
        <f t="shared" si="2"/>
        <v>5.0218921245299031E-2</v>
      </c>
      <c r="G17" s="53">
        <f t="shared" si="3"/>
        <v>13</v>
      </c>
      <c r="H17" s="54">
        <f t="shared" si="4"/>
        <v>47205</v>
      </c>
      <c r="I17" s="55">
        <f t="shared" si="10"/>
        <v>73098.807090909104</v>
      </c>
      <c r="J17" s="56">
        <f t="shared" si="5"/>
        <v>5.4039996745902874E-2</v>
      </c>
      <c r="L17" s="53">
        <f t="shared" si="6"/>
        <v>13</v>
      </c>
      <c r="M17" s="54">
        <f t="shared" ref="M17:M19" si="11">M16+365</f>
        <v>47205</v>
      </c>
      <c r="N17" s="55">
        <f t="shared" ref="N17:N19" si="12">IFERROR(FORECAST(L17,$N$5:$N$14,$L$5:$L$14),0)</f>
        <v>50.967427147005232</v>
      </c>
      <c r="O17" s="56">
        <f t="shared" si="8"/>
        <v>5.7156155946872955E-2</v>
      </c>
    </row>
    <row r="18" spans="2:15" x14ac:dyDescent="0.35">
      <c r="B18" s="53">
        <f t="shared" si="0"/>
        <v>14</v>
      </c>
      <c r="C18" s="54">
        <f t="shared" si="1"/>
        <v>47570</v>
      </c>
      <c r="D18" s="55">
        <f t="shared" si="9"/>
        <v>95881.291272727278</v>
      </c>
      <c r="E18" s="56">
        <f t="shared" si="2"/>
        <v>4.7817574249901851E-2</v>
      </c>
      <c r="G18" s="53">
        <f t="shared" si="3"/>
        <v>14</v>
      </c>
      <c r="H18" s="54">
        <f t="shared" si="4"/>
        <v>47570</v>
      </c>
      <c r="I18" s="55">
        <f t="shared" si="10"/>
        <v>76846.53896969698</v>
      </c>
      <c r="J18" s="56">
        <f t="shared" si="5"/>
        <v>5.1269398611758721E-2</v>
      </c>
      <c r="L18" s="53">
        <f t="shared" si="6"/>
        <v>14</v>
      </c>
      <c r="M18" s="54">
        <f t="shared" si="11"/>
        <v>47570</v>
      </c>
      <c r="N18" s="55">
        <f t="shared" si="12"/>
        <v>53.723029711335862</v>
      </c>
      <c r="O18" s="56">
        <f t="shared" si="8"/>
        <v>5.4065953856816229E-2</v>
      </c>
    </row>
    <row r="19" spans="2:15" x14ac:dyDescent="0.35">
      <c r="B19" s="53">
        <f t="shared" si="0"/>
        <v>15</v>
      </c>
      <c r="C19" s="54">
        <f t="shared" si="1"/>
        <v>47935</v>
      </c>
      <c r="D19" s="55">
        <f t="shared" si="9"/>
        <v>100256.87236363636</v>
      </c>
      <c r="E19" s="56">
        <f t="shared" si="2"/>
        <v>4.5635400116411207E-2</v>
      </c>
      <c r="G19" s="53">
        <f t="shared" si="3"/>
        <v>15</v>
      </c>
      <c r="H19" s="54">
        <f t="shared" si="4"/>
        <v>47935</v>
      </c>
      <c r="I19" s="55">
        <f t="shared" si="10"/>
        <v>80594.270848484855</v>
      </c>
      <c r="J19" s="56">
        <f t="shared" si="5"/>
        <v>4.8769039296170824E-2</v>
      </c>
      <c r="L19" s="53">
        <f t="shared" si="6"/>
        <v>15</v>
      </c>
      <c r="M19" s="54">
        <f t="shared" si="11"/>
        <v>47935</v>
      </c>
      <c r="N19" s="55">
        <f t="shared" si="12"/>
        <v>56.478632275666499</v>
      </c>
      <c r="O19" s="56">
        <f t="shared" si="8"/>
        <v>5.1292761765987738E-2</v>
      </c>
    </row>
    <row r="20" spans="2:15" x14ac:dyDescent="0.35">
      <c r="B20" s="8"/>
      <c r="C20" s="50"/>
    </row>
    <row r="21" spans="2:15" x14ac:dyDescent="0.35">
      <c r="B21" s="8"/>
      <c r="C21" s="50"/>
    </row>
  </sheetData>
  <mergeCells count="3">
    <mergeCell ref="B3:E3"/>
    <mergeCell ref="G3:J3"/>
    <mergeCell ref="L3:O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79998168889431442"/>
  </sheetPr>
  <dimension ref="A1:K93"/>
  <sheetViews>
    <sheetView zoomScale="120" zoomScaleNormal="120" zoomScalePageLayoutView="120" workbookViewId="0">
      <pane xSplit="1" ySplit="1" topLeftCell="B78" activePane="bottomRight" state="frozen"/>
      <selection activeCell="C4" sqref="C4"/>
      <selection pane="topRight" activeCell="C4" sqref="C4"/>
      <selection pane="bottomLeft" activeCell="C4" sqref="C4"/>
      <selection pane="bottomRight" activeCell="B87" sqref="B87"/>
    </sheetView>
  </sheetViews>
  <sheetFormatPr defaultColWidth="8.81640625" defaultRowHeight="14.5" x14ac:dyDescent="0.35"/>
  <cols>
    <col min="1" max="1" width="27.6328125" style="3" bestFit="1" customWidth="1"/>
    <col min="2" max="11" width="13.453125" style="3" bestFit="1" customWidth="1"/>
    <col min="12" max="16384" width="8.81640625" style="3"/>
  </cols>
  <sheetData>
    <row r="1" spans="1:11" s="1" customFormat="1" x14ac:dyDescent="0.35">
      <c r="A1" s="1" t="s">
        <v>0</v>
      </c>
      <c r="B1" s="1" t="s">
        <v>34</v>
      </c>
      <c r="E1" s="57" t="str">
        <f>IF(B2&lt;&gt;B3, "A NEW VERSION OF THE WORKSHEET IS AVAILABLE", "")</f>
        <v/>
      </c>
      <c r="F1" s="57"/>
      <c r="G1" s="57"/>
      <c r="H1" s="57"/>
      <c r="I1" s="57"/>
      <c r="J1" s="57"/>
      <c r="K1" s="57"/>
    </row>
    <row r="2" spans="1:11" x14ac:dyDescent="0.35">
      <c r="A2" s="1" t="s">
        <v>32</v>
      </c>
      <c r="B2" s="3">
        <v>2.1</v>
      </c>
      <c r="E2" s="58" t="s">
        <v>22</v>
      </c>
      <c r="F2" s="58"/>
      <c r="G2" s="58"/>
      <c r="H2" s="58"/>
      <c r="I2" s="58"/>
      <c r="J2" s="58"/>
      <c r="K2" s="58"/>
    </row>
    <row r="3" spans="1:11" x14ac:dyDescent="0.35">
      <c r="A3" s="1" t="s">
        <v>33</v>
      </c>
      <c r="B3" s="3">
        <v>2.1</v>
      </c>
    </row>
    <row r="4" spans="1:11" x14ac:dyDescent="0.35">
      <c r="A4" s="1"/>
    </row>
    <row r="5" spans="1:11" x14ac:dyDescent="0.35">
      <c r="A5" s="1" t="s">
        <v>35</v>
      </c>
    </row>
    <row r="6" spans="1:11" x14ac:dyDescent="0.35">
      <c r="A6" s="3" t="s">
        <v>28</v>
      </c>
      <c r="B6" s="3">
        <f>IF(B9&gt;0, B9/B8, 0)</f>
        <v>1252.9468304843303</v>
      </c>
    </row>
    <row r="7" spans="1:11" x14ac:dyDescent="0.35">
      <c r="A7" s="3" t="s">
        <v>17</v>
      </c>
      <c r="B7">
        <v>1</v>
      </c>
    </row>
    <row r="8" spans="1:11" x14ac:dyDescent="0.35">
      <c r="A8" s="3" t="s">
        <v>29</v>
      </c>
      <c r="B8">
        <v>280.8</v>
      </c>
    </row>
    <row r="9" spans="1:11" x14ac:dyDescent="0.35">
      <c r="A9" s="3" t="s">
        <v>45</v>
      </c>
      <c r="B9">
        <v>351827.47</v>
      </c>
    </row>
    <row r="15" spans="1:11" x14ac:dyDescent="0.35">
      <c r="A15" s="1" t="s">
        <v>23</v>
      </c>
    </row>
    <row r="16" spans="1:11" s="7" customFormat="1" x14ac:dyDescent="0.35">
      <c r="A16" s="6" t="s">
        <v>24</v>
      </c>
      <c r="B16" s="5">
        <v>42825</v>
      </c>
      <c r="C16" s="5">
        <v>43190</v>
      </c>
      <c r="D16" s="5">
        <v>43555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s="4" customFormat="1" x14ac:dyDescent="0.35">
      <c r="A17" s="4" t="s">
        <v>1</v>
      </c>
      <c r="B17">
        <v>42767.6</v>
      </c>
      <c r="C17">
        <v>43448.94</v>
      </c>
      <c r="D17">
        <v>48339.58</v>
      </c>
      <c r="E17">
        <v>49387.7</v>
      </c>
      <c r="F17">
        <v>49257.45</v>
      </c>
      <c r="G17">
        <v>60644.54</v>
      </c>
      <c r="H17">
        <v>70919.03</v>
      </c>
      <c r="I17">
        <v>67931.94</v>
      </c>
      <c r="J17">
        <v>75323.34</v>
      </c>
      <c r="K17">
        <v>78868.399999999994</v>
      </c>
    </row>
    <row r="18" spans="1:11" s="4" customFormat="1" x14ac:dyDescent="0.35">
      <c r="A18" s="3" t="s">
        <v>46</v>
      </c>
      <c r="B18">
        <v>15456.59</v>
      </c>
      <c r="C18">
        <v>14827.72</v>
      </c>
      <c r="D18">
        <v>17623.52</v>
      </c>
      <c r="E18">
        <v>18048.599999999999</v>
      </c>
      <c r="F18">
        <v>20776.71</v>
      </c>
      <c r="G18">
        <v>27071.07</v>
      </c>
      <c r="H18">
        <v>29364.36</v>
      </c>
      <c r="I18">
        <v>27348.57</v>
      </c>
      <c r="J18">
        <v>32704.37</v>
      </c>
      <c r="K18">
        <v>35098.339999999997</v>
      </c>
    </row>
    <row r="19" spans="1:11" s="4" customFormat="1" x14ac:dyDescent="0.35">
      <c r="A19" s="3" t="s">
        <v>47</v>
      </c>
      <c r="B19">
        <v>-592.57000000000005</v>
      </c>
      <c r="C19">
        <v>-1027.76</v>
      </c>
      <c r="D19">
        <v>203.19</v>
      </c>
      <c r="E19">
        <v>703.13</v>
      </c>
      <c r="F19">
        <v>645.27</v>
      </c>
      <c r="G19">
        <v>686</v>
      </c>
      <c r="H19">
        <v>358.59</v>
      </c>
      <c r="I19">
        <v>367.77</v>
      </c>
      <c r="J19">
        <v>725.65</v>
      </c>
      <c r="K19">
        <v>2550.46</v>
      </c>
    </row>
    <row r="20" spans="1:11" s="4" customFormat="1" x14ac:dyDescent="0.35">
      <c r="A20" s="3" t="s">
        <v>48</v>
      </c>
      <c r="B20">
        <v>584.33000000000004</v>
      </c>
      <c r="C20">
        <v>653.5</v>
      </c>
      <c r="D20">
        <v>746.73</v>
      </c>
      <c r="E20">
        <v>780.85</v>
      </c>
      <c r="F20">
        <v>699.56</v>
      </c>
      <c r="G20">
        <v>889.77</v>
      </c>
      <c r="H20">
        <v>1232.3399999999999</v>
      </c>
      <c r="I20">
        <v>952.9</v>
      </c>
      <c r="J20">
        <v>975.35</v>
      </c>
      <c r="K20">
        <v>947.71</v>
      </c>
    </row>
    <row r="21" spans="1:11" s="4" customFormat="1" x14ac:dyDescent="0.35">
      <c r="A21" s="3" t="s">
        <v>49</v>
      </c>
      <c r="B21">
        <v>1683.9</v>
      </c>
      <c r="C21">
        <v>1697.62</v>
      </c>
      <c r="D21">
        <v>1871.01</v>
      </c>
      <c r="E21">
        <v>1908.29</v>
      </c>
      <c r="F21">
        <v>1587.18</v>
      </c>
      <c r="G21">
        <v>1887.67</v>
      </c>
      <c r="H21">
        <v>2327.8000000000002</v>
      </c>
      <c r="I21">
        <v>2183.7600000000002</v>
      </c>
      <c r="J21">
        <v>2345.36</v>
      </c>
      <c r="K21">
        <v>2582.48</v>
      </c>
    </row>
    <row r="22" spans="1:11" s="4" customFormat="1" x14ac:dyDescent="0.35">
      <c r="A22" s="3" t="s">
        <v>50</v>
      </c>
      <c r="B22">
        <v>3631.73</v>
      </c>
      <c r="C22">
        <v>3760.9</v>
      </c>
      <c r="D22">
        <v>4177.88</v>
      </c>
      <c r="E22">
        <v>4295.79</v>
      </c>
      <c r="F22">
        <v>4463.33</v>
      </c>
      <c r="G22">
        <v>4890.55</v>
      </c>
      <c r="H22">
        <v>5736.22</v>
      </c>
      <c r="I22">
        <v>5548.53</v>
      </c>
      <c r="J22">
        <v>6169.78</v>
      </c>
      <c r="K22">
        <v>6781.5</v>
      </c>
    </row>
    <row r="23" spans="1:11" s="4" customFormat="1" x14ac:dyDescent="0.35">
      <c r="A23" s="3" t="s">
        <v>51</v>
      </c>
      <c r="B23">
        <v>4179.74</v>
      </c>
      <c r="C23">
        <v>3954.87</v>
      </c>
      <c r="D23">
        <v>4546.3900000000003</v>
      </c>
      <c r="E23">
        <v>4488.63</v>
      </c>
      <c r="F23">
        <v>4236.7700000000004</v>
      </c>
      <c r="G23">
        <v>4858.38</v>
      </c>
      <c r="H23">
        <v>5604.08</v>
      </c>
      <c r="I23">
        <v>5312.45</v>
      </c>
      <c r="J23">
        <v>5793.29</v>
      </c>
      <c r="K23">
        <v>6377.95</v>
      </c>
    </row>
    <row r="24" spans="1:11" s="4" customFormat="1" x14ac:dyDescent="0.35">
      <c r="A24" s="3" t="s">
        <v>52</v>
      </c>
      <c r="B24">
        <v>1169.23</v>
      </c>
      <c r="C24">
        <v>1005.98</v>
      </c>
      <c r="D24">
        <v>1039.8499999999999</v>
      </c>
      <c r="E24">
        <v>1225.1300000000001</v>
      </c>
      <c r="F24">
        <v>1074.3900000000001</v>
      </c>
      <c r="G24">
        <v>1109.95</v>
      </c>
      <c r="H24">
        <v>1308.56</v>
      </c>
      <c r="I24">
        <v>1765.97</v>
      </c>
      <c r="J24">
        <v>2229.2600000000002</v>
      </c>
      <c r="K24">
        <v>2324.88</v>
      </c>
    </row>
    <row r="25" spans="1:11" s="4" customFormat="1" x14ac:dyDescent="0.35">
      <c r="A25" s="4" t="s">
        <v>4</v>
      </c>
      <c r="B25">
        <v>1758.63</v>
      </c>
      <c r="C25">
        <v>2239.81</v>
      </c>
      <c r="D25">
        <v>2080.44</v>
      </c>
      <c r="E25">
        <v>2417.3200000000002</v>
      </c>
      <c r="F25">
        <v>2576.9499999999998</v>
      </c>
      <c r="G25">
        <v>1909.72</v>
      </c>
      <c r="H25">
        <v>2097.64</v>
      </c>
      <c r="I25">
        <v>3330.45</v>
      </c>
      <c r="J25">
        <v>17802.75</v>
      </c>
      <c r="K25">
        <v>2523.09</v>
      </c>
    </row>
    <row r="26" spans="1:11" s="4" customFormat="1" x14ac:dyDescent="0.35">
      <c r="A26" s="4" t="s">
        <v>5</v>
      </c>
      <c r="B26">
        <v>1152.79</v>
      </c>
      <c r="C26">
        <v>1236.28</v>
      </c>
      <c r="D26">
        <v>1396.61</v>
      </c>
      <c r="E26">
        <v>1644.91</v>
      </c>
      <c r="F26">
        <v>1645.59</v>
      </c>
      <c r="G26">
        <v>1732.41</v>
      </c>
      <c r="H26">
        <v>1809.01</v>
      </c>
      <c r="I26">
        <v>1518.05</v>
      </c>
      <c r="J26">
        <v>1646.32</v>
      </c>
      <c r="K26">
        <v>1710.53</v>
      </c>
    </row>
    <row r="27" spans="1:11" s="4" customFormat="1" x14ac:dyDescent="0.35">
      <c r="A27" s="4" t="s">
        <v>6</v>
      </c>
      <c r="B27">
        <v>49.03</v>
      </c>
      <c r="C27">
        <v>115.01</v>
      </c>
      <c r="D27">
        <v>71.400000000000006</v>
      </c>
      <c r="E27">
        <v>81.38</v>
      </c>
      <c r="F27">
        <v>57.97</v>
      </c>
      <c r="G27">
        <v>59.99</v>
      </c>
      <c r="H27">
        <v>77.77</v>
      </c>
      <c r="I27">
        <v>39.11</v>
      </c>
      <c r="J27">
        <v>45.06</v>
      </c>
      <c r="K27">
        <v>85.17</v>
      </c>
    </row>
    <row r="28" spans="1:11" s="4" customFormat="1" x14ac:dyDescent="0.35">
      <c r="A28" s="4" t="s">
        <v>7</v>
      </c>
      <c r="B28">
        <v>16026.32</v>
      </c>
      <c r="C28">
        <v>17409.11</v>
      </c>
      <c r="D28">
        <v>19149.82</v>
      </c>
      <c r="E28">
        <v>20034.57</v>
      </c>
      <c r="F28">
        <v>17938.169999999998</v>
      </c>
      <c r="G28">
        <v>20740.47</v>
      </c>
      <c r="H28">
        <v>25915.119999999999</v>
      </c>
      <c r="I28">
        <v>26960.82</v>
      </c>
      <c r="J28">
        <v>41942.949999999997</v>
      </c>
      <c r="K28">
        <v>28033.39</v>
      </c>
    </row>
    <row r="29" spans="1:11" s="4" customFormat="1" x14ac:dyDescent="0.35">
      <c r="A29" s="4" t="s">
        <v>8</v>
      </c>
      <c r="B29">
        <v>5549.09</v>
      </c>
      <c r="C29">
        <v>5916.43</v>
      </c>
      <c r="D29">
        <v>6313.92</v>
      </c>
      <c r="E29">
        <v>4441.79</v>
      </c>
      <c r="F29">
        <v>4555.29</v>
      </c>
      <c r="G29">
        <v>5237.34</v>
      </c>
      <c r="H29">
        <v>6438.4</v>
      </c>
      <c r="I29">
        <v>6209.46</v>
      </c>
      <c r="J29">
        <v>6890.47</v>
      </c>
      <c r="K29">
        <v>7015.24</v>
      </c>
    </row>
    <row r="30" spans="1:11" s="4" customFormat="1" x14ac:dyDescent="0.35">
      <c r="A30" s="4" t="s">
        <v>9</v>
      </c>
      <c r="B30">
        <v>10289.44</v>
      </c>
      <c r="C30">
        <v>11271.2</v>
      </c>
      <c r="D30">
        <v>12592.33</v>
      </c>
      <c r="E30">
        <v>15306.23</v>
      </c>
      <c r="F30">
        <v>13161.19</v>
      </c>
      <c r="G30">
        <v>15242.66</v>
      </c>
      <c r="H30">
        <v>19191.66</v>
      </c>
      <c r="I30">
        <v>20458.78</v>
      </c>
      <c r="J30">
        <v>34746.629999999997</v>
      </c>
      <c r="K30">
        <v>20689.47</v>
      </c>
    </row>
    <row r="31" spans="1:11" s="4" customFormat="1" x14ac:dyDescent="0.35">
      <c r="A31" s="4" t="s">
        <v>36</v>
      </c>
      <c r="B31">
        <v>5770.02</v>
      </c>
      <c r="C31">
        <v>6285.21</v>
      </c>
      <c r="D31">
        <v>7048.7</v>
      </c>
      <c r="E31">
        <v>12476.58</v>
      </c>
      <c r="F31">
        <v>13231.96</v>
      </c>
      <c r="G31">
        <v>14171.8</v>
      </c>
      <c r="H31">
        <v>19263.400000000001</v>
      </c>
      <c r="I31">
        <v>17166.46</v>
      </c>
      <c r="J31">
        <v>17957.73</v>
      </c>
      <c r="K31">
        <v>18167.78</v>
      </c>
    </row>
    <row r="32" spans="1:11" s="4" customFormat="1" x14ac:dyDescent="0.35"/>
    <row r="33" spans="1:11" x14ac:dyDescent="0.35">
      <c r="A33" s="4"/>
    </row>
    <row r="34" spans="1:11" x14ac:dyDescent="0.35">
      <c r="A34" s="4"/>
    </row>
    <row r="35" spans="1:11" x14ac:dyDescent="0.35">
      <c r="A35" s="4"/>
    </row>
    <row r="36" spans="1:11" x14ac:dyDescent="0.35">
      <c r="A36" s="4"/>
    </row>
    <row r="37" spans="1:11" x14ac:dyDescent="0.35">
      <c r="A37" s="4"/>
    </row>
    <row r="38" spans="1:11" x14ac:dyDescent="0.35">
      <c r="A38" s="4"/>
    </row>
    <row r="39" spans="1:11" x14ac:dyDescent="0.35">
      <c r="A39" s="4"/>
    </row>
    <row r="40" spans="1:11" x14ac:dyDescent="0.35">
      <c r="A40" s="1" t="s">
        <v>25</v>
      </c>
    </row>
    <row r="41" spans="1:11" s="7" customFormat="1" x14ac:dyDescent="0.35">
      <c r="A41" s="6" t="s">
        <v>24</v>
      </c>
      <c r="B41" s="5">
        <v>45291</v>
      </c>
      <c r="C41" s="5">
        <v>45382</v>
      </c>
      <c r="D41" s="5">
        <v>45473</v>
      </c>
      <c r="E41" s="5">
        <v>45565</v>
      </c>
      <c r="F41" s="5">
        <v>45657</v>
      </c>
      <c r="G41" s="5">
        <v>45747</v>
      </c>
      <c r="H41" s="5">
        <v>45838</v>
      </c>
      <c r="I41" s="5">
        <v>45930</v>
      </c>
      <c r="J41" s="5">
        <v>46022</v>
      </c>
      <c r="K41" s="5">
        <v>46112</v>
      </c>
    </row>
    <row r="42" spans="1:11" s="4" customFormat="1" x14ac:dyDescent="0.35">
      <c r="A42" s="4" t="s">
        <v>1</v>
      </c>
      <c r="B42">
        <v>17195.240000000002</v>
      </c>
      <c r="C42">
        <v>17037.8</v>
      </c>
      <c r="D42">
        <v>17777.810000000001</v>
      </c>
      <c r="E42">
        <v>19990.36</v>
      </c>
      <c r="F42">
        <v>18790.169999999998</v>
      </c>
      <c r="G42">
        <v>18765</v>
      </c>
      <c r="H42">
        <v>21494.79</v>
      </c>
      <c r="I42">
        <v>19501.63</v>
      </c>
      <c r="J42">
        <v>20047.3</v>
      </c>
      <c r="K42">
        <v>17824.68</v>
      </c>
    </row>
    <row r="43" spans="1:11" s="4" customFormat="1" x14ac:dyDescent="0.35">
      <c r="A43" s="4" t="s">
        <v>2</v>
      </c>
      <c r="B43">
        <v>10985.01</v>
      </c>
      <c r="C43">
        <v>10735.73</v>
      </c>
      <c r="D43">
        <v>11232.97</v>
      </c>
      <c r="E43">
        <v>13438.28</v>
      </c>
      <c r="F43">
        <v>12428.27</v>
      </c>
      <c r="G43">
        <v>12245.61</v>
      </c>
      <c r="H43">
        <v>14678.32</v>
      </c>
      <c r="I43">
        <v>12806.94</v>
      </c>
      <c r="J43">
        <v>13164.78</v>
      </c>
      <c r="K43">
        <v>10900.45</v>
      </c>
    </row>
    <row r="44" spans="1:11" s="4" customFormat="1" x14ac:dyDescent="0.35">
      <c r="A44" s="4" t="s">
        <v>4</v>
      </c>
      <c r="B44">
        <v>820.26</v>
      </c>
      <c r="C44">
        <v>868</v>
      </c>
      <c r="D44">
        <v>771.13</v>
      </c>
      <c r="E44">
        <v>690.31</v>
      </c>
      <c r="F44">
        <v>803.4</v>
      </c>
      <c r="G44">
        <v>15391.28</v>
      </c>
      <c r="H44">
        <v>750.97</v>
      </c>
      <c r="I44">
        <v>738.84</v>
      </c>
      <c r="J44">
        <v>321.85000000000002</v>
      </c>
      <c r="K44">
        <v>699.52</v>
      </c>
    </row>
    <row r="45" spans="1:11" s="4" customFormat="1" x14ac:dyDescent="0.35">
      <c r="A45" s="4" t="s">
        <v>5</v>
      </c>
      <c r="B45">
        <v>384.04</v>
      </c>
      <c r="C45">
        <v>385.09</v>
      </c>
      <c r="D45">
        <v>403.13</v>
      </c>
      <c r="E45">
        <v>416.18</v>
      </c>
      <c r="F45">
        <v>415.98</v>
      </c>
      <c r="G45">
        <v>411.03</v>
      </c>
      <c r="H45">
        <v>422.96</v>
      </c>
      <c r="I45">
        <v>434.8</v>
      </c>
      <c r="J45">
        <v>430.82</v>
      </c>
      <c r="K45">
        <v>421.95</v>
      </c>
    </row>
    <row r="46" spans="1:11" s="4" customFormat="1" x14ac:dyDescent="0.35">
      <c r="A46" s="4" t="s">
        <v>6</v>
      </c>
      <c r="B46">
        <v>11.94</v>
      </c>
      <c r="C46">
        <v>10.72</v>
      </c>
      <c r="D46">
        <v>9.6</v>
      </c>
      <c r="E46">
        <v>14.73</v>
      </c>
      <c r="F46">
        <v>9.82</v>
      </c>
      <c r="G46">
        <v>10.91</v>
      </c>
      <c r="H46">
        <v>16.47</v>
      </c>
      <c r="I46">
        <v>20.05</v>
      </c>
      <c r="J46">
        <v>19.47</v>
      </c>
      <c r="K46">
        <v>29.18</v>
      </c>
    </row>
    <row r="47" spans="1:11" s="4" customFormat="1" x14ac:dyDescent="0.35">
      <c r="A47" s="4" t="s">
        <v>7</v>
      </c>
      <c r="B47">
        <v>6634.51</v>
      </c>
      <c r="C47">
        <v>6774.26</v>
      </c>
      <c r="D47">
        <v>6903.24</v>
      </c>
      <c r="E47">
        <v>6811.48</v>
      </c>
      <c r="F47">
        <v>6739.5</v>
      </c>
      <c r="G47">
        <v>21488.73</v>
      </c>
      <c r="H47">
        <v>7128.01</v>
      </c>
      <c r="I47">
        <v>6978.68</v>
      </c>
      <c r="J47">
        <v>6754.08</v>
      </c>
      <c r="K47">
        <v>7172.62</v>
      </c>
    </row>
    <row r="48" spans="1:11" s="4" customFormat="1" x14ac:dyDescent="0.35">
      <c r="A48" s="4" t="s">
        <v>8</v>
      </c>
      <c r="B48">
        <v>1227.99</v>
      </c>
      <c r="C48">
        <v>1583.55</v>
      </c>
      <c r="D48">
        <v>1726.25</v>
      </c>
      <c r="E48">
        <v>1757.05</v>
      </c>
      <c r="F48">
        <v>1726.32</v>
      </c>
      <c r="G48">
        <v>1680.85</v>
      </c>
      <c r="H48">
        <v>1784.6</v>
      </c>
      <c r="I48">
        <v>1792.13</v>
      </c>
      <c r="J48">
        <v>1735.63</v>
      </c>
      <c r="K48">
        <v>1702.88</v>
      </c>
    </row>
    <row r="49" spans="1:11" s="4" customFormat="1" x14ac:dyDescent="0.35">
      <c r="A49" s="4" t="s">
        <v>9</v>
      </c>
      <c r="B49">
        <v>5335.23</v>
      </c>
      <c r="C49">
        <v>5120.55</v>
      </c>
      <c r="D49">
        <v>5091.59</v>
      </c>
      <c r="E49">
        <v>4992.87</v>
      </c>
      <c r="F49">
        <v>4934.8</v>
      </c>
      <c r="G49">
        <v>19727.37</v>
      </c>
      <c r="H49">
        <v>5244.2</v>
      </c>
      <c r="I49">
        <v>5126.1099999999997</v>
      </c>
      <c r="J49">
        <v>4931.1899999999996</v>
      </c>
      <c r="K49">
        <v>5387.97</v>
      </c>
    </row>
    <row r="50" spans="1:11" x14ac:dyDescent="0.35">
      <c r="A50" s="4" t="s">
        <v>3</v>
      </c>
      <c r="B50">
        <v>6210.23</v>
      </c>
      <c r="C50">
        <v>6302.07</v>
      </c>
      <c r="D50">
        <v>6544.84</v>
      </c>
      <c r="E50">
        <v>6552.08</v>
      </c>
      <c r="F50">
        <v>6361.9</v>
      </c>
      <c r="G50">
        <v>6519.39</v>
      </c>
      <c r="H50">
        <v>6816.47</v>
      </c>
      <c r="I50">
        <v>6694.69</v>
      </c>
      <c r="J50">
        <v>6882.52</v>
      </c>
      <c r="K50">
        <v>6924.23</v>
      </c>
    </row>
    <row r="51" spans="1:11" x14ac:dyDescent="0.35">
      <c r="A51" s="4"/>
    </row>
    <row r="52" spans="1:11" x14ac:dyDescent="0.35">
      <c r="A52" s="4"/>
    </row>
    <row r="53" spans="1:11" x14ac:dyDescent="0.35">
      <c r="A53" s="4"/>
    </row>
    <row r="54" spans="1:11" x14ac:dyDescent="0.35">
      <c r="A54" s="4"/>
    </row>
    <row r="55" spans="1:11" x14ac:dyDescent="0.35">
      <c r="A55" s="1" t="s">
        <v>26</v>
      </c>
    </row>
    <row r="56" spans="1:11" s="7" customFormat="1" x14ac:dyDescent="0.35">
      <c r="A56" s="6" t="s">
        <v>24</v>
      </c>
      <c r="B56" s="5">
        <v>42825</v>
      </c>
      <c r="C56" s="5">
        <v>43190</v>
      </c>
      <c r="D56" s="5">
        <v>43555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 x14ac:dyDescent="0.35">
      <c r="A57" s="4" t="s">
        <v>11</v>
      </c>
      <c r="B57">
        <v>1214.74</v>
      </c>
      <c r="C57">
        <v>1220.43</v>
      </c>
      <c r="D57">
        <v>1225.8599999999999</v>
      </c>
      <c r="E57">
        <v>1229.22</v>
      </c>
      <c r="F57">
        <v>1230.8800000000001</v>
      </c>
      <c r="G57">
        <v>1232.33</v>
      </c>
      <c r="H57">
        <v>1242.8</v>
      </c>
      <c r="I57">
        <v>1248.47</v>
      </c>
      <c r="J57">
        <v>1251.4100000000001</v>
      </c>
      <c r="K57">
        <v>1252.95</v>
      </c>
    </row>
    <row r="58" spans="1:11" x14ac:dyDescent="0.35">
      <c r="A58" s="4" t="s">
        <v>12</v>
      </c>
      <c r="B58">
        <v>45198.19</v>
      </c>
      <c r="C58">
        <v>51289.68</v>
      </c>
      <c r="D58">
        <v>57915.01</v>
      </c>
      <c r="E58">
        <v>64044.04</v>
      </c>
      <c r="F58">
        <v>59116.46</v>
      </c>
      <c r="G58">
        <v>61223.24</v>
      </c>
      <c r="H58">
        <v>67912.460000000006</v>
      </c>
      <c r="I58">
        <v>73258.53</v>
      </c>
      <c r="J58">
        <v>68778.64</v>
      </c>
      <c r="K58">
        <v>71254.350000000006</v>
      </c>
    </row>
    <row r="59" spans="1:11" x14ac:dyDescent="0.35">
      <c r="A59" s="4" t="s">
        <v>37</v>
      </c>
      <c r="B59">
        <v>45.72</v>
      </c>
      <c r="C59">
        <v>35.92</v>
      </c>
      <c r="D59">
        <v>13.44</v>
      </c>
      <c r="E59">
        <v>277.45</v>
      </c>
      <c r="F59">
        <v>270.83</v>
      </c>
      <c r="G59">
        <v>249.44</v>
      </c>
      <c r="H59">
        <v>306.04000000000002</v>
      </c>
      <c r="I59">
        <v>303.43</v>
      </c>
      <c r="J59">
        <v>284.54000000000002</v>
      </c>
      <c r="K59">
        <v>2399.06</v>
      </c>
    </row>
    <row r="60" spans="1:11" x14ac:dyDescent="0.35">
      <c r="A60" s="4" t="s">
        <v>38</v>
      </c>
      <c r="B60">
        <v>9439.67</v>
      </c>
      <c r="C60">
        <v>11694.85</v>
      </c>
      <c r="D60">
        <v>12584.73</v>
      </c>
      <c r="E60">
        <v>11760.04</v>
      </c>
      <c r="F60">
        <v>13142.59</v>
      </c>
      <c r="G60">
        <v>14491.01</v>
      </c>
      <c r="H60">
        <v>16369.66</v>
      </c>
      <c r="I60">
        <v>16943.54</v>
      </c>
      <c r="J60">
        <v>17688.11</v>
      </c>
      <c r="K60">
        <v>18730.84</v>
      </c>
    </row>
    <row r="61" spans="1:11" s="1" customFormat="1" x14ac:dyDescent="0.35">
      <c r="A61" s="1" t="s">
        <v>13</v>
      </c>
      <c r="B61">
        <v>55898.32</v>
      </c>
      <c r="C61">
        <v>64240.88</v>
      </c>
      <c r="D61">
        <v>71739.039999999994</v>
      </c>
      <c r="E61">
        <v>77310.75</v>
      </c>
      <c r="F61">
        <v>73760.759999999995</v>
      </c>
      <c r="G61">
        <v>77196.02</v>
      </c>
      <c r="H61">
        <v>85830.96</v>
      </c>
      <c r="I61">
        <v>91753.97</v>
      </c>
      <c r="J61">
        <v>88002.7</v>
      </c>
      <c r="K61">
        <v>93637.2</v>
      </c>
    </row>
    <row r="62" spans="1:11" x14ac:dyDescent="0.35">
      <c r="A62" s="4" t="s">
        <v>14</v>
      </c>
      <c r="B62">
        <v>15893.48</v>
      </c>
      <c r="C62">
        <v>16523.96</v>
      </c>
      <c r="D62">
        <v>19374.189999999999</v>
      </c>
      <c r="E62">
        <v>21713.34</v>
      </c>
      <c r="F62">
        <v>23298.48</v>
      </c>
      <c r="G62">
        <v>24231.59</v>
      </c>
      <c r="H62">
        <v>25851.27</v>
      </c>
      <c r="I62">
        <v>27820.22</v>
      </c>
      <c r="J62">
        <v>21954.85</v>
      </c>
      <c r="K62">
        <v>22442.53</v>
      </c>
    </row>
    <row r="63" spans="1:11" x14ac:dyDescent="0.35">
      <c r="A63" s="4" t="s">
        <v>15</v>
      </c>
      <c r="B63">
        <v>3729.89</v>
      </c>
      <c r="C63">
        <v>5508.33</v>
      </c>
      <c r="D63">
        <v>4136.42</v>
      </c>
      <c r="E63">
        <v>3256.46</v>
      </c>
      <c r="F63">
        <v>4011.29</v>
      </c>
      <c r="G63">
        <v>3225.54</v>
      </c>
      <c r="H63">
        <v>3003.3</v>
      </c>
      <c r="I63">
        <v>2860.78</v>
      </c>
      <c r="J63">
        <v>1090.9100000000001</v>
      </c>
      <c r="K63">
        <v>1601.88</v>
      </c>
    </row>
    <row r="64" spans="1:11" x14ac:dyDescent="0.35">
      <c r="A64" s="4" t="s">
        <v>16</v>
      </c>
      <c r="B64">
        <v>17581.38</v>
      </c>
      <c r="C64">
        <v>22052.86</v>
      </c>
      <c r="D64">
        <v>25043.49</v>
      </c>
      <c r="E64">
        <v>28663.35</v>
      </c>
      <c r="F64">
        <v>24870.87</v>
      </c>
      <c r="G64">
        <v>24841.01</v>
      </c>
      <c r="H64">
        <v>29415.02</v>
      </c>
      <c r="I64">
        <v>31114.02</v>
      </c>
      <c r="J64">
        <v>34719.82</v>
      </c>
      <c r="K64">
        <v>38128.43</v>
      </c>
    </row>
    <row r="65" spans="1:11" x14ac:dyDescent="0.35">
      <c r="A65" s="4" t="s">
        <v>39</v>
      </c>
      <c r="B65">
        <v>18693.57</v>
      </c>
      <c r="C65">
        <v>20155.73</v>
      </c>
      <c r="D65">
        <v>23184.94</v>
      </c>
      <c r="E65">
        <v>23677.599999999999</v>
      </c>
      <c r="F65">
        <v>21580.12</v>
      </c>
      <c r="G65">
        <v>24897.88</v>
      </c>
      <c r="H65">
        <v>27561.37</v>
      </c>
      <c r="I65">
        <v>29958.95</v>
      </c>
      <c r="J65">
        <v>30237.119999999999</v>
      </c>
      <c r="K65">
        <v>31464.36</v>
      </c>
    </row>
    <row r="66" spans="1:11" s="1" customFormat="1" x14ac:dyDescent="0.35">
      <c r="A66" s="1" t="s">
        <v>13</v>
      </c>
      <c r="B66">
        <v>55898.32</v>
      </c>
      <c r="C66">
        <v>64240.88</v>
      </c>
      <c r="D66">
        <v>71739.039999999994</v>
      </c>
      <c r="E66">
        <v>77310.75</v>
      </c>
      <c r="F66">
        <v>73760.759999999995</v>
      </c>
      <c r="G66">
        <v>77196.02</v>
      </c>
      <c r="H66">
        <v>85830.96</v>
      </c>
      <c r="I66">
        <v>91753.97</v>
      </c>
      <c r="J66">
        <v>88002.7</v>
      </c>
      <c r="K66">
        <v>93637.2</v>
      </c>
    </row>
    <row r="67" spans="1:11" s="4" customFormat="1" x14ac:dyDescent="0.35">
      <c r="A67" s="4" t="s">
        <v>44</v>
      </c>
      <c r="B67">
        <v>2474.29</v>
      </c>
      <c r="C67">
        <v>2682.29</v>
      </c>
      <c r="D67">
        <v>4035.28</v>
      </c>
      <c r="E67">
        <v>2562.48</v>
      </c>
      <c r="F67">
        <v>2501.6999999999998</v>
      </c>
      <c r="G67">
        <v>2461.9</v>
      </c>
      <c r="H67">
        <v>2956.17</v>
      </c>
      <c r="I67">
        <v>4025.82</v>
      </c>
      <c r="J67">
        <v>4719.67</v>
      </c>
      <c r="K67">
        <v>3922.86</v>
      </c>
    </row>
    <row r="68" spans="1:11" x14ac:dyDescent="0.35">
      <c r="A68" s="4" t="s">
        <v>30</v>
      </c>
      <c r="B68">
        <v>8116.1</v>
      </c>
      <c r="C68">
        <v>7495.09</v>
      </c>
      <c r="D68">
        <v>7859.56</v>
      </c>
      <c r="E68">
        <v>8879.33</v>
      </c>
      <c r="F68">
        <v>10397.16</v>
      </c>
      <c r="G68">
        <v>10864.15</v>
      </c>
      <c r="H68">
        <v>11771.16</v>
      </c>
      <c r="I68">
        <v>14152.88</v>
      </c>
      <c r="J68">
        <v>15637.56</v>
      </c>
      <c r="K68">
        <v>18622.96</v>
      </c>
    </row>
    <row r="69" spans="1:11" x14ac:dyDescent="0.35">
      <c r="A69" s="3" t="s">
        <v>53</v>
      </c>
      <c r="B69">
        <v>2967.4</v>
      </c>
      <c r="C69">
        <v>2899.6</v>
      </c>
      <c r="D69">
        <v>4152.03</v>
      </c>
      <c r="E69">
        <v>7277.34</v>
      </c>
      <c r="F69">
        <v>4659.0200000000004</v>
      </c>
      <c r="G69">
        <v>4654.42</v>
      </c>
      <c r="H69">
        <v>4880.1899999999996</v>
      </c>
      <c r="I69">
        <v>7217.68</v>
      </c>
      <c r="J69">
        <v>4012.36</v>
      </c>
      <c r="K69">
        <v>3008.79</v>
      </c>
    </row>
    <row r="70" spans="1:11" x14ac:dyDescent="0.35">
      <c r="A70" s="3" t="s">
        <v>40</v>
      </c>
      <c r="B70">
        <v>12147383071</v>
      </c>
      <c r="C70">
        <v>12204294911</v>
      </c>
      <c r="D70">
        <v>12258631601</v>
      </c>
      <c r="E70">
        <v>12292231241</v>
      </c>
      <c r="F70">
        <v>12308844231</v>
      </c>
      <c r="G70">
        <v>12323255931</v>
      </c>
      <c r="H70">
        <v>12428017741</v>
      </c>
      <c r="I70">
        <v>12484700000</v>
      </c>
      <c r="J70">
        <v>12514119781</v>
      </c>
      <c r="K70">
        <v>12529468231</v>
      </c>
    </row>
    <row r="71" spans="1:11" x14ac:dyDescent="0.35">
      <c r="A71" s="3" t="s">
        <v>41</v>
      </c>
      <c r="B71">
        <v>4026657100</v>
      </c>
    </row>
    <row r="72" spans="1:11" x14ac:dyDescent="0.35">
      <c r="A72" s="3" t="s">
        <v>54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5">
      <c r="A74" s="4"/>
    </row>
    <row r="75" spans="1:11" x14ac:dyDescent="0.35">
      <c r="A75" s="4"/>
    </row>
    <row r="76" spans="1:11" x14ac:dyDescent="0.35">
      <c r="A76" s="4"/>
    </row>
    <row r="77" spans="1:11" x14ac:dyDescent="0.35">
      <c r="A77" s="4"/>
    </row>
    <row r="78" spans="1:11" x14ac:dyDescent="0.35">
      <c r="A78" s="4"/>
    </row>
    <row r="79" spans="1:11" x14ac:dyDescent="0.35">
      <c r="A79" s="4"/>
    </row>
    <row r="80" spans="1:11" x14ac:dyDescent="0.35">
      <c r="A80" s="1" t="s">
        <v>27</v>
      </c>
    </row>
    <row r="81" spans="1:11" s="7" customFormat="1" x14ac:dyDescent="0.35">
      <c r="A81" s="6" t="s">
        <v>24</v>
      </c>
      <c r="B81" s="5">
        <v>42825</v>
      </c>
      <c r="C81" s="5">
        <v>43190</v>
      </c>
      <c r="D81" s="5">
        <v>43555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</row>
    <row r="82" spans="1:11" s="1" customFormat="1" x14ac:dyDescent="0.35">
      <c r="A82" s="4" t="s">
        <v>18</v>
      </c>
      <c r="B82">
        <v>10627.31</v>
      </c>
      <c r="C82">
        <v>13169.4</v>
      </c>
      <c r="D82">
        <v>12583.41</v>
      </c>
      <c r="E82">
        <v>14689.66</v>
      </c>
      <c r="F82">
        <v>12526.97</v>
      </c>
      <c r="G82">
        <v>15775.51</v>
      </c>
      <c r="H82">
        <v>18877.55</v>
      </c>
      <c r="I82">
        <v>17178.86</v>
      </c>
      <c r="J82">
        <v>17627.04</v>
      </c>
      <c r="K82">
        <v>18464.310000000001</v>
      </c>
    </row>
    <row r="83" spans="1:11" s="4" customFormat="1" x14ac:dyDescent="0.35">
      <c r="A83" s="4" t="s">
        <v>19</v>
      </c>
      <c r="B83">
        <v>-3250.93</v>
      </c>
      <c r="C83">
        <v>-7113.89</v>
      </c>
      <c r="D83">
        <v>-5545.68</v>
      </c>
      <c r="E83">
        <v>-6174.02</v>
      </c>
      <c r="F83">
        <v>5739.98</v>
      </c>
      <c r="G83">
        <v>-2238.4899999999998</v>
      </c>
      <c r="H83">
        <v>-5732.29</v>
      </c>
      <c r="I83">
        <v>1562.77</v>
      </c>
      <c r="J83">
        <v>-563.84</v>
      </c>
      <c r="K83">
        <v>-2320.7399999999998</v>
      </c>
    </row>
    <row r="84" spans="1:11" s="4" customFormat="1" x14ac:dyDescent="0.35">
      <c r="A84" s="4" t="s">
        <v>20</v>
      </c>
      <c r="B84">
        <v>-7301.03</v>
      </c>
      <c r="C84">
        <v>-6221.13</v>
      </c>
      <c r="D84">
        <v>-6868.64</v>
      </c>
      <c r="E84">
        <v>-8181.48</v>
      </c>
      <c r="F84">
        <v>-18633.830000000002</v>
      </c>
      <c r="G84">
        <v>-13580.5</v>
      </c>
      <c r="H84">
        <v>-13006.03</v>
      </c>
      <c r="I84">
        <v>-18550.96</v>
      </c>
      <c r="J84">
        <v>-17037.400000000001</v>
      </c>
      <c r="K84">
        <v>-16147.12</v>
      </c>
    </row>
    <row r="85" spans="1:11" s="1" customFormat="1" x14ac:dyDescent="0.35">
      <c r="A85" s="4" t="s">
        <v>21</v>
      </c>
      <c r="B85">
        <v>75.349999999999994</v>
      </c>
      <c r="C85">
        <v>-165.62</v>
      </c>
      <c r="D85">
        <v>169.09</v>
      </c>
      <c r="E85">
        <v>334.16</v>
      </c>
      <c r="F85">
        <v>-366.88</v>
      </c>
      <c r="G85">
        <v>-43.48</v>
      </c>
      <c r="H85">
        <v>139.22999999999999</v>
      </c>
      <c r="I85">
        <v>190.67</v>
      </c>
      <c r="J85">
        <v>25.8</v>
      </c>
      <c r="K85">
        <v>-3.55</v>
      </c>
    </row>
    <row r="86" spans="1:11" x14ac:dyDescent="0.35">
      <c r="A86" s="4"/>
    </row>
    <row r="87" spans="1:11" x14ac:dyDescent="0.35">
      <c r="A87" s="4"/>
    </row>
    <row r="88" spans="1:11" x14ac:dyDescent="0.35">
      <c r="A88" s="4"/>
    </row>
    <row r="89" spans="1:11" x14ac:dyDescent="0.35">
      <c r="A89" s="4"/>
    </row>
    <row r="90" spans="1:11" s="1" customFormat="1" x14ac:dyDescent="0.35">
      <c r="A90" s="1" t="s">
        <v>43</v>
      </c>
      <c r="B90">
        <v>262.75</v>
      </c>
      <c r="C90">
        <v>239.5</v>
      </c>
      <c r="D90">
        <v>278.64</v>
      </c>
      <c r="E90">
        <v>160.94999999999999</v>
      </c>
      <c r="F90">
        <v>204.82</v>
      </c>
      <c r="G90">
        <v>234.96</v>
      </c>
      <c r="H90">
        <v>359.49</v>
      </c>
      <c r="I90">
        <v>401.53</v>
      </c>
      <c r="J90">
        <v>409.75</v>
      </c>
      <c r="K90">
        <v>287.7</v>
      </c>
    </row>
    <row r="92" spans="1:11" s="1" customFormat="1" x14ac:dyDescent="0.35">
      <c r="A92" s="1" t="s">
        <v>42</v>
      </c>
    </row>
    <row r="93" spans="1:11" x14ac:dyDescent="0.35">
      <c r="A93" s="3" t="s">
        <v>55</v>
      </c>
      <c r="B93" s="9">
        <v>1214.74</v>
      </c>
      <c r="C93" s="9">
        <v>1220.43</v>
      </c>
      <c r="D93" s="9">
        <v>1225.8599999999999</v>
      </c>
      <c r="E93" s="9">
        <v>1229.22</v>
      </c>
      <c r="F93" s="9">
        <v>1230.8800000000001</v>
      </c>
      <c r="G93" s="9">
        <v>1232.33</v>
      </c>
      <c r="H93" s="9">
        <v>1242.8</v>
      </c>
      <c r="I93" s="9">
        <v>1248.47</v>
      </c>
      <c r="J93" s="9">
        <v>1251.4100000000001</v>
      </c>
      <c r="K93" s="9">
        <v>1252.95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21E3-A930-4CE4-85CE-32A27A1120E4}">
  <sheetPr>
    <tabColor theme="5" tint="0.79998168889431442"/>
  </sheetPr>
  <dimension ref="B2:N34"/>
  <sheetViews>
    <sheetView workbookViewId="0">
      <selection activeCell="F29" sqref="F29"/>
    </sheetView>
  </sheetViews>
  <sheetFormatPr defaultRowHeight="14.5" x14ac:dyDescent="0.35"/>
  <cols>
    <col min="2" max="2" width="26" bestFit="1" customWidth="1"/>
    <col min="3" max="14" width="6.90625" bestFit="1" customWidth="1"/>
  </cols>
  <sheetData>
    <row r="2" spans="2:14" x14ac:dyDescent="0.35">
      <c r="B2" s="25"/>
      <c r="C2" s="25">
        <v>42064</v>
      </c>
      <c r="D2" s="25">
        <v>42430</v>
      </c>
      <c r="E2" s="25">
        <v>42795</v>
      </c>
      <c r="F2" s="25">
        <v>43160</v>
      </c>
      <c r="G2" s="25">
        <v>43525</v>
      </c>
      <c r="H2" s="25">
        <v>43891</v>
      </c>
      <c r="I2" s="25">
        <v>44256</v>
      </c>
      <c r="J2" s="25">
        <v>44621</v>
      </c>
      <c r="K2" s="25">
        <v>44986</v>
      </c>
      <c r="L2" s="25">
        <v>45352</v>
      </c>
      <c r="M2" s="25">
        <v>45717</v>
      </c>
      <c r="N2" s="25">
        <v>46082</v>
      </c>
    </row>
    <row r="3" spans="2:14" x14ac:dyDescent="0.35">
      <c r="B3" t="s">
        <v>118</v>
      </c>
      <c r="C3">
        <v>243</v>
      </c>
      <c r="D3">
        <v>418</v>
      </c>
      <c r="E3">
        <v>312</v>
      </c>
      <c r="F3">
        <v>305</v>
      </c>
      <c r="G3">
        <v>206</v>
      </c>
      <c r="H3">
        <v>333</v>
      </c>
      <c r="I3">
        <v>365</v>
      </c>
      <c r="J3">
        <v>444</v>
      </c>
      <c r="K3">
        <v>493</v>
      </c>
      <c r="L3">
        <v>526</v>
      </c>
      <c r="M3">
        <v>655</v>
      </c>
      <c r="N3">
        <v>873</v>
      </c>
    </row>
    <row r="4" spans="2:14" x14ac:dyDescent="0.35">
      <c r="B4" t="s">
        <v>92</v>
      </c>
      <c r="C4">
        <v>325</v>
      </c>
      <c r="D4">
        <v>514</v>
      </c>
      <c r="E4">
        <v>462</v>
      </c>
      <c r="F4">
        <v>402</v>
      </c>
      <c r="G4">
        <v>329</v>
      </c>
      <c r="H4">
        <v>343</v>
      </c>
      <c r="I4">
        <v>458</v>
      </c>
      <c r="J4">
        <v>679</v>
      </c>
      <c r="K4">
        <v>758</v>
      </c>
      <c r="L4">
        <v>826</v>
      </c>
      <c r="M4">
        <v>901</v>
      </c>
      <c r="N4" s="26">
        <v>1198</v>
      </c>
    </row>
    <row r="5" spans="2:14" x14ac:dyDescent="0.35">
      <c r="B5" t="s">
        <v>44</v>
      </c>
      <c r="C5">
        <v>-26</v>
      </c>
      <c r="D5">
        <v>-63</v>
      </c>
      <c r="E5">
        <v>-33</v>
      </c>
      <c r="F5">
        <v>-15</v>
      </c>
      <c r="G5">
        <v>-15</v>
      </c>
      <c r="H5">
        <v>10</v>
      </c>
      <c r="I5">
        <v>-30</v>
      </c>
      <c r="J5">
        <v>-37</v>
      </c>
      <c r="K5">
        <v>-112</v>
      </c>
      <c r="L5">
        <v>-55</v>
      </c>
      <c r="M5">
        <v>-93</v>
      </c>
      <c r="N5">
        <v>-237</v>
      </c>
    </row>
    <row r="6" spans="2:14" x14ac:dyDescent="0.35"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2:14" x14ac:dyDescent="0.35">
      <c r="B7" t="s">
        <v>93</v>
      </c>
      <c r="C7">
        <v>1</v>
      </c>
      <c r="D7">
        <v>32</v>
      </c>
      <c r="E7">
        <v>-12</v>
      </c>
      <c r="F7">
        <v>18</v>
      </c>
      <c r="G7">
        <v>-3</v>
      </c>
      <c r="H7">
        <v>0</v>
      </c>
      <c r="I7">
        <v>7</v>
      </c>
      <c r="J7">
        <v>15</v>
      </c>
      <c r="K7">
        <v>20</v>
      </c>
      <c r="L7">
        <v>11</v>
      </c>
      <c r="M7">
        <v>21</v>
      </c>
      <c r="N7">
        <v>53</v>
      </c>
    </row>
    <row r="8" spans="2:14" x14ac:dyDescent="0.35">
      <c r="B8" t="s">
        <v>94</v>
      </c>
      <c r="C8">
        <v>-8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35">
      <c r="B9" t="s">
        <v>95</v>
      </c>
      <c r="C9">
        <v>19</v>
      </c>
      <c r="D9">
        <v>48</v>
      </c>
      <c r="E9">
        <v>-3</v>
      </c>
      <c r="F9">
        <v>-6</v>
      </c>
      <c r="G9">
        <v>-12</v>
      </c>
      <c r="H9">
        <v>39</v>
      </c>
      <c r="I9">
        <v>31</v>
      </c>
      <c r="J9">
        <v>-48</v>
      </c>
      <c r="K9">
        <v>5</v>
      </c>
      <c r="L9">
        <v>-84</v>
      </c>
      <c r="M9">
        <v>-11</v>
      </c>
      <c r="N9">
        <v>85</v>
      </c>
    </row>
    <row r="10" spans="2:14" x14ac:dyDescent="0.35">
      <c r="B10" t="s">
        <v>96</v>
      </c>
      <c r="C10">
        <v>-15</v>
      </c>
      <c r="D10">
        <v>16</v>
      </c>
      <c r="E10">
        <v>-47</v>
      </c>
      <c r="F10">
        <v>-3</v>
      </c>
      <c r="G10">
        <v>-30</v>
      </c>
      <c r="H10">
        <v>49</v>
      </c>
      <c r="I10">
        <v>7</v>
      </c>
      <c r="J10">
        <v>-70</v>
      </c>
      <c r="K10">
        <v>-87</v>
      </c>
      <c r="L10">
        <v>-128</v>
      </c>
      <c r="M10">
        <v>-82</v>
      </c>
      <c r="N10">
        <v>-99</v>
      </c>
    </row>
    <row r="11" spans="2:14" x14ac:dyDescent="0.35">
      <c r="B11" t="s">
        <v>97</v>
      </c>
      <c r="C11">
        <v>-68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-164</v>
      </c>
      <c r="K11">
        <v>-178</v>
      </c>
      <c r="L11">
        <v>-172</v>
      </c>
      <c r="M11">
        <v>-164</v>
      </c>
      <c r="N11">
        <v>-225</v>
      </c>
    </row>
    <row r="12" spans="2:14" x14ac:dyDescent="0.35">
      <c r="B12" t="s">
        <v>98</v>
      </c>
      <c r="C12">
        <v>0</v>
      </c>
      <c r="D12">
        <v>-113</v>
      </c>
      <c r="E12">
        <v>-103</v>
      </c>
      <c r="F12">
        <v>-95</v>
      </c>
      <c r="G12">
        <v>-93</v>
      </c>
      <c r="H12">
        <v>-59</v>
      </c>
      <c r="I12">
        <v>-100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2:14" x14ac:dyDescent="0.35">
      <c r="B13" t="s">
        <v>119</v>
      </c>
      <c r="C13">
        <v>-62</v>
      </c>
      <c r="D13">
        <v>-167</v>
      </c>
      <c r="E13">
        <v>-175</v>
      </c>
      <c r="F13">
        <v>26</v>
      </c>
      <c r="G13">
        <v>-230</v>
      </c>
      <c r="H13">
        <v>24</v>
      </c>
      <c r="I13">
        <v>-2</v>
      </c>
      <c r="J13">
        <v>44</v>
      </c>
      <c r="K13">
        <v>-55</v>
      </c>
      <c r="L13">
        <v>-483</v>
      </c>
      <c r="M13">
        <v>143</v>
      </c>
      <c r="N13">
        <v>-141</v>
      </c>
    </row>
    <row r="14" spans="2:14" x14ac:dyDescent="0.35">
      <c r="B14" t="s">
        <v>99</v>
      </c>
      <c r="C14">
        <v>-61</v>
      </c>
      <c r="D14">
        <v>-53</v>
      </c>
      <c r="E14">
        <v>-30</v>
      </c>
      <c r="F14">
        <v>-42</v>
      </c>
      <c r="G14">
        <v>-52</v>
      </c>
      <c r="H14">
        <v>-34</v>
      </c>
      <c r="I14">
        <v>-39</v>
      </c>
      <c r="J14">
        <v>-61</v>
      </c>
      <c r="K14">
        <v>-91</v>
      </c>
      <c r="L14">
        <v>-67</v>
      </c>
      <c r="M14">
        <v>-121</v>
      </c>
      <c r="N14">
        <v>-119</v>
      </c>
    </row>
    <row r="15" spans="2:14" x14ac:dyDescent="0.35">
      <c r="B15" t="s">
        <v>100</v>
      </c>
      <c r="C15">
        <v>0</v>
      </c>
      <c r="D15"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1</v>
      </c>
      <c r="L15">
        <v>3</v>
      </c>
      <c r="M15">
        <v>6</v>
      </c>
      <c r="N15">
        <v>1</v>
      </c>
    </row>
    <row r="16" spans="2:14" x14ac:dyDescent="0.35">
      <c r="B16" t="s">
        <v>101</v>
      </c>
      <c r="C16">
        <v>-356</v>
      </c>
      <c r="D16">
        <v>-859</v>
      </c>
      <c r="E16">
        <v>-803</v>
      </c>
      <c r="F16">
        <v>-844</v>
      </c>
      <c r="G16" s="26">
        <v>-1363</v>
      </c>
      <c r="H16" s="26">
        <v>-1196</v>
      </c>
      <c r="I16">
        <v>-919</v>
      </c>
      <c r="J16" s="26">
        <v>-1158</v>
      </c>
      <c r="K16" s="26">
        <v>-1612</v>
      </c>
      <c r="L16" s="26">
        <v>-1662</v>
      </c>
      <c r="M16" s="26">
        <v>-2043</v>
      </c>
      <c r="N16" s="26">
        <v>-2187</v>
      </c>
    </row>
    <row r="17" spans="2:14" x14ac:dyDescent="0.35">
      <c r="B17" t="s">
        <v>102</v>
      </c>
      <c r="C17">
        <v>316</v>
      </c>
      <c r="D17">
        <v>796</v>
      </c>
      <c r="E17">
        <v>773</v>
      </c>
      <c r="F17">
        <v>930</v>
      </c>
      <c r="G17" s="26">
        <v>1242</v>
      </c>
      <c r="H17" s="26">
        <v>1059</v>
      </c>
      <c r="I17" s="26">
        <v>1143</v>
      </c>
      <c r="J17" s="26">
        <v>1197</v>
      </c>
      <c r="K17" s="26">
        <v>1548</v>
      </c>
      <c r="L17" s="26">
        <v>1546</v>
      </c>
      <c r="M17" s="26">
        <v>2155</v>
      </c>
      <c r="N17" s="26">
        <v>2198</v>
      </c>
    </row>
    <row r="18" spans="2:14" x14ac:dyDescent="0.35">
      <c r="B18" t="s">
        <v>103</v>
      </c>
      <c r="C18">
        <v>14</v>
      </c>
      <c r="D18">
        <v>7</v>
      </c>
      <c r="E18">
        <v>7</v>
      </c>
      <c r="F18">
        <v>14</v>
      </c>
      <c r="G18">
        <v>19</v>
      </c>
      <c r="H18">
        <v>21</v>
      </c>
      <c r="I18">
        <v>13</v>
      </c>
      <c r="J18">
        <v>4</v>
      </c>
      <c r="K18">
        <v>6</v>
      </c>
      <c r="L18">
        <v>21</v>
      </c>
      <c r="M18">
        <v>25</v>
      </c>
      <c r="N18">
        <v>30</v>
      </c>
    </row>
    <row r="19" spans="2:14" x14ac:dyDescent="0.35">
      <c r="B19" t="s">
        <v>104</v>
      </c>
      <c r="C19">
        <v>6</v>
      </c>
      <c r="D19">
        <v>5</v>
      </c>
      <c r="E19">
        <v>13</v>
      </c>
      <c r="F19">
        <v>15</v>
      </c>
      <c r="G19">
        <v>10</v>
      </c>
      <c r="H19">
        <v>7</v>
      </c>
      <c r="I19">
        <v>0</v>
      </c>
      <c r="J19">
        <v>0</v>
      </c>
      <c r="K19">
        <v>0</v>
      </c>
      <c r="L19">
        <v>0</v>
      </c>
      <c r="M19">
        <v>2</v>
      </c>
      <c r="N19">
        <v>3</v>
      </c>
    </row>
    <row r="20" spans="2:14" x14ac:dyDescent="0.35">
      <c r="B20" t="s">
        <v>105</v>
      </c>
      <c r="C20">
        <v>0</v>
      </c>
      <c r="D20">
        <v>-107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5">
      <c r="B21" t="s">
        <v>106</v>
      </c>
      <c r="C21">
        <v>19</v>
      </c>
      <c r="D21">
        <v>44</v>
      </c>
      <c r="E21">
        <v>-136</v>
      </c>
      <c r="F21">
        <v>-47</v>
      </c>
      <c r="G21">
        <v>-85</v>
      </c>
      <c r="H21">
        <v>167</v>
      </c>
      <c r="I21">
        <v>-200</v>
      </c>
      <c r="J21">
        <v>61</v>
      </c>
      <c r="K21">
        <v>93</v>
      </c>
      <c r="L21">
        <v>-324</v>
      </c>
      <c r="M21">
        <v>118</v>
      </c>
      <c r="N21">
        <v>-67</v>
      </c>
    </row>
    <row r="22" spans="2:14" x14ac:dyDescent="0.35">
      <c r="B22" t="s">
        <v>120</v>
      </c>
      <c r="C22">
        <v>-115</v>
      </c>
      <c r="D22">
        <v>-165</v>
      </c>
      <c r="E22">
        <v>-245</v>
      </c>
      <c r="F22">
        <v>-304</v>
      </c>
      <c r="G22">
        <v>-54</v>
      </c>
      <c r="H22">
        <v>-308</v>
      </c>
      <c r="I22">
        <v>-188</v>
      </c>
      <c r="J22">
        <v>-416</v>
      </c>
      <c r="K22">
        <v>-440</v>
      </c>
      <c r="L22">
        <v>-107</v>
      </c>
      <c r="M22">
        <v>-610</v>
      </c>
      <c r="N22">
        <v>-622</v>
      </c>
    </row>
    <row r="23" spans="2:14" x14ac:dyDescent="0.35">
      <c r="B23" t="s">
        <v>107</v>
      </c>
      <c r="C23">
        <v>8</v>
      </c>
      <c r="D23">
        <v>14</v>
      </c>
      <c r="E23">
        <v>8</v>
      </c>
      <c r="F23">
        <v>9</v>
      </c>
      <c r="G23">
        <v>5</v>
      </c>
      <c r="H23">
        <v>1</v>
      </c>
      <c r="I23">
        <v>0</v>
      </c>
      <c r="J23">
        <v>0</v>
      </c>
      <c r="K23">
        <v>0</v>
      </c>
      <c r="L23">
        <v>0</v>
      </c>
      <c r="M23">
        <v>30</v>
      </c>
      <c r="N23">
        <v>32</v>
      </c>
    </row>
    <row r="24" spans="2:14" x14ac:dyDescent="0.35">
      <c r="B24" t="s">
        <v>108</v>
      </c>
      <c r="C24">
        <v>0</v>
      </c>
      <c r="D24">
        <v>0</v>
      </c>
      <c r="E24">
        <v>0</v>
      </c>
      <c r="F24">
        <v>5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</row>
    <row r="25" spans="2:14" x14ac:dyDescent="0.35">
      <c r="B25" t="s">
        <v>109</v>
      </c>
      <c r="C25">
        <v>0</v>
      </c>
      <c r="D25">
        <v>0</v>
      </c>
      <c r="E25">
        <v>-2</v>
      </c>
      <c r="F25">
        <v>0</v>
      </c>
      <c r="G25">
        <v>-5</v>
      </c>
      <c r="H25">
        <v>-1</v>
      </c>
      <c r="I25">
        <v>-1</v>
      </c>
      <c r="J25">
        <v>0</v>
      </c>
      <c r="K25">
        <v>0</v>
      </c>
      <c r="L25">
        <v>-1</v>
      </c>
      <c r="M25">
        <v>0</v>
      </c>
      <c r="N25">
        <v>0</v>
      </c>
    </row>
    <row r="26" spans="2:14" x14ac:dyDescent="0.35">
      <c r="B26" t="s">
        <v>110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2:14" x14ac:dyDescent="0.35">
      <c r="B27" t="s">
        <v>111</v>
      </c>
      <c r="C27">
        <v>0</v>
      </c>
      <c r="D27">
        <v>0</v>
      </c>
      <c r="E27">
        <v>0</v>
      </c>
      <c r="F27">
        <v>0</v>
      </c>
      <c r="G27">
        <v>0</v>
      </c>
      <c r="H27">
        <v>-19</v>
      </c>
      <c r="I27">
        <v>-20</v>
      </c>
      <c r="J27">
        <v>-22</v>
      </c>
      <c r="K27">
        <v>-21</v>
      </c>
      <c r="L27">
        <v>-23</v>
      </c>
      <c r="M27">
        <v>-35</v>
      </c>
      <c r="N27">
        <v>-43</v>
      </c>
    </row>
    <row r="28" spans="2:14" x14ac:dyDescent="0.35">
      <c r="B28" t="s">
        <v>112</v>
      </c>
      <c r="C28">
        <v>-106</v>
      </c>
      <c r="D28">
        <v>-107</v>
      </c>
      <c r="E28">
        <v>-4</v>
      </c>
      <c r="F28">
        <v>-4</v>
      </c>
      <c r="G28">
        <v>-4</v>
      </c>
      <c r="H28">
        <v>-4</v>
      </c>
      <c r="I28">
        <v>-3</v>
      </c>
      <c r="J28">
        <v>-3</v>
      </c>
      <c r="K28">
        <v>-3</v>
      </c>
      <c r="L28">
        <v>-5</v>
      </c>
      <c r="M28">
        <v>-5</v>
      </c>
      <c r="N28">
        <v>-5</v>
      </c>
    </row>
    <row r="29" spans="2:14" x14ac:dyDescent="0.35">
      <c r="B29" t="s">
        <v>113</v>
      </c>
      <c r="C29">
        <v>0</v>
      </c>
      <c r="D29">
        <v>0</v>
      </c>
      <c r="E29">
        <v>0</v>
      </c>
      <c r="F29">
        <v>0</v>
      </c>
      <c r="G29">
        <v>0</v>
      </c>
      <c r="H29">
        <v>-26</v>
      </c>
      <c r="I29">
        <v>-29</v>
      </c>
      <c r="J29">
        <v>-36</v>
      </c>
      <c r="K29">
        <v>-39</v>
      </c>
      <c r="L29">
        <v>-46</v>
      </c>
      <c r="M29">
        <v>-36</v>
      </c>
      <c r="N29">
        <v>-54</v>
      </c>
    </row>
    <row r="30" spans="2:14" x14ac:dyDescent="0.35">
      <c r="B30" t="s">
        <v>114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28</v>
      </c>
      <c r="K30">
        <v>22</v>
      </c>
      <c r="L30">
        <v>15</v>
      </c>
      <c r="M30">
        <v>0</v>
      </c>
      <c r="N30">
        <v>0</v>
      </c>
    </row>
    <row r="31" spans="2:14" x14ac:dyDescent="0.35">
      <c r="B31" t="s">
        <v>115</v>
      </c>
      <c r="C31">
        <v>-18</v>
      </c>
      <c r="D31">
        <v>-73</v>
      </c>
      <c r="E31">
        <v>-247</v>
      </c>
      <c r="F31">
        <v>-313</v>
      </c>
      <c r="G31">
        <v>-51</v>
      </c>
      <c r="H31">
        <v>-260</v>
      </c>
      <c r="I31">
        <v>-135</v>
      </c>
      <c r="J31">
        <v>-383</v>
      </c>
      <c r="K31">
        <v>-399</v>
      </c>
      <c r="L31">
        <v>-46</v>
      </c>
      <c r="M31">
        <v>-564</v>
      </c>
      <c r="N31">
        <v>-552</v>
      </c>
    </row>
    <row r="32" spans="2:14" x14ac:dyDescent="0.35">
      <c r="B32" t="s">
        <v>21</v>
      </c>
      <c r="C32">
        <v>66</v>
      </c>
      <c r="D32">
        <v>86</v>
      </c>
      <c r="E32">
        <v>-108</v>
      </c>
      <c r="F32">
        <v>28</v>
      </c>
      <c r="G32">
        <v>-77</v>
      </c>
      <c r="H32">
        <v>49</v>
      </c>
      <c r="I32">
        <v>174</v>
      </c>
      <c r="J32">
        <v>71</v>
      </c>
      <c r="K32">
        <v>-2</v>
      </c>
      <c r="L32">
        <v>-64</v>
      </c>
      <c r="M32">
        <v>188</v>
      </c>
      <c r="N32">
        <v>111</v>
      </c>
    </row>
    <row r="33" spans="2:14" x14ac:dyDescent="0.35">
      <c r="B33" t="s">
        <v>116</v>
      </c>
      <c r="C33">
        <v>182</v>
      </c>
      <c r="D33">
        <v>366</v>
      </c>
      <c r="E33">
        <v>283</v>
      </c>
      <c r="F33">
        <v>264</v>
      </c>
      <c r="G33">
        <v>154</v>
      </c>
      <c r="H33">
        <v>299</v>
      </c>
      <c r="I33">
        <v>326</v>
      </c>
      <c r="J33">
        <v>383</v>
      </c>
      <c r="K33">
        <v>403</v>
      </c>
      <c r="L33">
        <v>462</v>
      </c>
      <c r="M33">
        <v>539</v>
      </c>
      <c r="N33">
        <v>756</v>
      </c>
    </row>
    <row r="34" spans="2:14" x14ac:dyDescent="0.35">
      <c r="B34" t="s">
        <v>117</v>
      </c>
      <c r="C34" s="27">
        <v>0.98</v>
      </c>
      <c r="D34" s="27">
        <v>0.87</v>
      </c>
      <c r="E34" s="27">
        <v>0.68</v>
      </c>
      <c r="F34" s="27">
        <v>0.83</v>
      </c>
      <c r="G34" s="27">
        <v>0.67</v>
      </c>
      <c r="H34" s="27">
        <v>1.02</v>
      </c>
      <c r="I34" s="27">
        <v>0.81</v>
      </c>
      <c r="J34" s="27">
        <v>0.92</v>
      </c>
      <c r="K34" s="27">
        <v>0.93</v>
      </c>
      <c r="L34" s="27">
        <v>0.9</v>
      </c>
      <c r="M34" s="27">
        <v>1.01</v>
      </c>
      <c r="N34" s="27">
        <v>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HistoricalFS</vt:lpstr>
      <vt:lpstr>Ratio Analysis</vt:lpstr>
      <vt:lpstr>Forecasting </vt:lpstr>
      <vt:lpstr>Data Sheet</vt:lpstr>
      <vt:lpstr>Cash Flow 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Dhibi Kunnel</dc:creator>
  <cp:lastModifiedBy>BINI K</cp:lastModifiedBy>
  <cp:lastPrinted>2026-07-18T18:55:47Z</cp:lastPrinted>
  <dcterms:created xsi:type="dcterms:W3CDTF">2012-08-17T09:55:37Z</dcterms:created>
  <dcterms:modified xsi:type="dcterms:W3CDTF">2026-07-27T18:48:17Z</dcterms:modified>
</cp:coreProperties>
</file>