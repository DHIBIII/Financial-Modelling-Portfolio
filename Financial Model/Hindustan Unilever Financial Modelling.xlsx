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ib\Desktop\"/>
    </mc:Choice>
  </mc:AlternateContent>
  <xr:revisionPtr revIDLastSave="0" documentId="8_{123D2D9F-3409-4ED4-9B94-B5FE8800C6F4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HistoricalFS" sheetId="7" r:id="rId1"/>
    <sheet name="Ratio Analysis" sheetId="11" r:id="rId2"/>
    <sheet name="Forecasting " sheetId="12" r:id="rId3"/>
    <sheet name="Common Size Income Statement" sheetId="13" r:id="rId4"/>
    <sheet name="Data Sheet" sheetId="6" r:id="rId5"/>
    <sheet name="Cash Flow Data" sheetId="10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11" i="7" l="1"/>
  <c r="K111" i="7"/>
  <c r="J111" i="7"/>
  <c r="I111" i="7"/>
  <c r="H111" i="7"/>
  <c r="G111" i="7"/>
  <c r="F111" i="7"/>
  <c r="E111" i="7"/>
  <c r="D111" i="7"/>
  <c r="C111" i="7"/>
  <c r="L109" i="7"/>
  <c r="K109" i="7"/>
  <c r="J109" i="7"/>
  <c r="I109" i="7"/>
  <c r="H109" i="7"/>
  <c r="G109" i="7"/>
  <c r="F109" i="7"/>
  <c r="E109" i="7"/>
  <c r="D109" i="7"/>
  <c r="L108" i="7"/>
  <c r="K108" i="7"/>
  <c r="J108" i="7"/>
  <c r="I108" i="7"/>
  <c r="H108" i="7"/>
  <c r="G108" i="7"/>
  <c r="F108" i="7"/>
  <c r="E108" i="7"/>
  <c r="D108" i="7"/>
  <c r="L107" i="7"/>
  <c r="K107" i="7"/>
  <c r="J107" i="7"/>
  <c r="I107" i="7"/>
  <c r="H107" i="7"/>
  <c r="G107" i="7"/>
  <c r="F107" i="7"/>
  <c r="E107" i="7"/>
  <c r="D107" i="7"/>
  <c r="C109" i="7"/>
  <c r="C108" i="7"/>
  <c r="C107" i="7"/>
  <c r="L103" i="7"/>
  <c r="K103" i="7"/>
  <c r="J103" i="7"/>
  <c r="I103" i="7"/>
  <c r="H103" i="7"/>
  <c r="G103" i="7"/>
  <c r="F103" i="7"/>
  <c r="E103" i="7"/>
  <c r="D103" i="7"/>
  <c r="C103" i="7"/>
  <c r="L97" i="7"/>
  <c r="K97" i="7"/>
  <c r="J97" i="7"/>
  <c r="I97" i="7"/>
  <c r="H97" i="7"/>
  <c r="G97" i="7"/>
  <c r="F97" i="7"/>
  <c r="E97" i="7"/>
  <c r="D97" i="7"/>
  <c r="L96" i="7"/>
  <c r="K96" i="7"/>
  <c r="J96" i="7"/>
  <c r="I96" i="7"/>
  <c r="H96" i="7"/>
  <c r="G96" i="7"/>
  <c r="F96" i="7"/>
  <c r="E96" i="7"/>
  <c r="D96" i="7"/>
  <c r="L95" i="7"/>
  <c r="K95" i="7"/>
  <c r="J95" i="7"/>
  <c r="I95" i="7"/>
  <c r="H95" i="7"/>
  <c r="G95" i="7"/>
  <c r="F95" i="7"/>
  <c r="E95" i="7"/>
  <c r="D95" i="7"/>
  <c r="C97" i="7"/>
  <c r="C96" i="7"/>
  <c r="C95" i="7"/>
  <c r="L99" i="7"/>
  <c r="K99" i="7"/>
  <c r="J99" i="7"/>
  <c r="I99" i="7"/>
  <c r="H99" i="7"/>
  <c r="G99" i="7"/>
  <c r="F99" i="7"/>
  <c r="E99" i="7"/>
  <c r="D99" i="7"/>
  <c r="C99" i="7"/>
  <c r="L98" i="7"/>
  <c r="K98" i="7"/>
  <c r="J98" i="7"/>
  <c r="I98" i="7"/>
  <c r="H98" i="7"/>
  <c r="G98" i="7"/>
  <c r="F98" i="7"/>
  <c r="E98" i="7"/>
  <c r="D98" i="7"/>
  <c r="C98" i="7"/>
  <c r="M30" i="7"/>
  <c r="D30" i="7"/>
  <c r="E30" i="7"/>
  <c r="F30" i="7"/>
  <c r="G30" i="7"/>
  <c r="H30" i="7"/>
  <c r="I30" i="7"/>
  <c r="J30" i="7"/>
  <c r="K30" i="7"/>
  <c r="L30" i="7"/>
  <c r="C30" i="7"/>
  <c r="M18" i="7"/>
  <c r="D15" i="7"/>
  <c r="E15" i="7"/>
  <c r="F15" i="7"/>
  <c r="G15" i="7"/>
  <c r="H15" i="7"/>
  <c r="I15" i="7"/>
  <c r="J15" i="7"/>
  <c r="K15" i="7"/>
  <c r="L15" i="7"/>
  <c r="M15" i="7"/>
  <c r="C15" i="7"/>
  <c r="M9" i="7"/>
  <c r="L9" i="7"/>
  <c r="K9" i="7"/>
  <c r="J9" i="7"/>
  <c r="I9" i="7"/>
  <c r="H9" i="7"/>
  <c r="G9" i="7"/>
  <c r="F9" i="7"/>
  <c r="E9" i="7"/>
  <c r="D9" i="7"/>
  <c r="C9" i="7"/>
  <c r="M6" i="7"/>
  <c r="L40" i="13"/>
  <c r="K40" i="13"/>
  <c r="J40" i="13"/>
  <c r="I40" i="13"/>
  <c r="H40" i="13"/>
  <c r="G40" i="13"/>
  <c r="F40" i="13"/>
  <c r="E40" i="13"/>
  <c r="D40" i="13"/>
  <c r="L39" i="13"/>
  <c r="K39" i="13"/>
  <c r="J39" i="13"/>
  <c r="I39" i="13"/>
  <c r="H39" i="13"/>
  <c r="G39" i="13"/>
  <c r="F39" i="13"/>
  <c r="E39" i="13"/>
  <c r="D39" i="13"/>
  <c r="L38" i="13"/>
  <c r="K38" i="13"/>
  <c r="J38" i="13"/>
  <c r="I38" i="13"/>
  <c r="H38" i="13"/>
  <c r="G38" i="13"/>
  <c r="F38" i="13"/>
  <c r="E38" i="13"/>
  <c r="D38" i="13"/>
  <c r="L37" i="13"/>
  <c r="K37" i="13"/>
  <c r="J37" i="13"/>
  <c r="I37" i="13"/>
  <c r="H37" i="13"/>
  <c r="G37" i="13"/>
  <c r="F37" i="13"/>
  <c r="E37" i="13"/>
  <c r="D37" i="13"/>
  <c r="L36" i="13"/>
  <c r="K36" i="13"/>
  <c r="J36" i="13"/>
  <c r="I36" i="13"/>
  <c r="H36" i="13"/>
  <c r="G36" i="13"/>
  <c r="F36" i="13"/>
  <c r="E36" i="13"/>
  <c r="D36" i="13"/>
  <c r="L35" i="13"/>
  <c r="K35" i="13"/>
  <c r="J35" i="13"/>
  <c r="I35" i="13"/>
  <c r="H35" i="13"/>
  <c r="G35" i="13"/>
  <c r="F35" i="13"/>
  <c r="E35" i="13"/>
  <c r="D35" i="13"/>
  <c r="L34" i="13"/>
  <c r="K34" i="13"/>
  <c r="J34" i="13"/>
  <c r="I34" i="13"/>
  <c r="H34" i="13"/>
  <c r="G34" i="13"/>
  <c r="F34" i="13"/>
  <c r="E34" i="13"/>
  <c r="D34" i="13"/>
  <c r="L33" i="13"/>
  <c r="K33" i="13"/>
  <c r="J33" i="13"/>
  <c r="I33" i="13"/>
  <c r="H33" i="13"/>
  <c r="G33" i="13"/>
  <c r="F33" i="13"/>
  <c r="E33" i="13"/>
  <c r="D33" i="13"/>
  <c r="C39" i="13"/>
  <c r="C40" i="13"/>
  <c r="C38" i="13"/>
  <c r="C37" i="13"/>
  <c r="C35" i="13"/>
  <c r="C36" i="13"/>
  <c r="C34" i="13"/>
  <c r="C33" i="13"/>
  <c r="C74" i="6"/>
  <c r="D74" i="6"/>
  <c r="E74" i="6"/>
  <c r="F74" i="6"/>
  <c r="G74" i="6"/>
  <c r="H74" i="6"/>
  <c r="I74" i="6"/>
  <c r="J74" i="6"/>
  <c r="K74" i="6"/>
  <c r="B74" i="6"/>
  <c r="L31" i="13"/>
  <c r="K31" i="13"/>
  <c r="J31" i="13"/>
  <c r="I31" i="13"/>
  <c r="H31" i="13"/>
  <c r="G31" i="13"/>
  <c r="F31" i="13"/>
  <c r="E31" i="13"/>
  <c r="D31" i="13"/>
  <c r="L30" i="13"/>
  <c r="K30" i="13"/>
  <c r="J30" i="13"/>
  <c r="I30" i="13"/>
  <c r="H30" i="13"/>
  <c r="G30" i="13"/>
  <c r="F30" i="13"/>
  <c r="E30" i="13"/>
  <c r="D30" i="13"/>
  <c r="L29" i="13"/>
  <c r="K29" i="13"/>
  <c r="J29" i="13"/>
  <c r="I29" i="13"/>
  <c r="H29" i="13"/>
  <c r="G29" i="13"/>
  <c r="F29" i="13"/>
  <c r="E29" i="13"/>
  <c r="D29" i="13"/>
  <c r="L28" i="13"/>
  <c r="K28" i="13"/>
  <c r="J28" i="13"/>
  <c r="I28" i="13"/>
  <c r="H28" i="13"/>
  <c r="G28" i="13"/>
  <c r="F28" i="13"/>
  <c r="E28" i="13"/>
  <c r="D28" i="13"/>
  <c r="C31" i="13"/>
  <c r="C30" i="13"/>
  <c r="C29" i="13"/>
  <c r="C28" i="13"/>
  <c r="D27" i="13"/>
  <c r="E27" i="13"/>
  <c r="F27" i="13"/>
  <c r="G27" i="13"/>
  <c r="H27" i="13"/>
  <c r="I27" i="13"/>
  <c r="J27" i="13"/>
  <c r="K27" i="13"/>
  <c r="L27" i="13"/>
  <c r="C27" i="13"/>
  <c r="L25" i="13"/>
  <c r="K25" i="13"/>
  <c r="J25" i="13"/>
  <c r="I25" i="13"/>
  <c r="H25" i="13"/>
  <c r="G25" i="13"/>
  <c r="F25" i="13"/>
  <c r="E25" i="13"/>
  <c r="D25" i="13"/>
  <c r="C25" i="13"/>
  <c r="D4" i="13"/>
  <c r="E4" i="13"/>
  <c r="F4" i="13"/>
  <c r="G4" i="13"/>
  <c r="H4" i="13"/>
  <c r="I4" i="13"/>
  <c r="J4" i="13"/>
  <c r="K4" i="13"/>
  <c r="L4" i="13"/>
  <c r="C4" i="13"/>
  <c r="B29" i="13"/>
  <c r="B30" i="13"/>
  <c r="B31" i="13"/>
  <c r="B34" i="13"/>
  <c r="B35" i="13"/>
  <c r="B36" i="13"/>
  <c r="B37" i="13"/>
  <c r="B38" i="13"/>
  <c r="B39" i="13"/>
  <c r="B40" i="13"/>
  <c r="B28" i="13"/>
  <c r="B23" i="13"/>
  <c r="B21" i="13"/>
  <c r="C21" i="13"/>
  <c r="D21" i="13"/>
  <c r="E21" i="13"/>
  <c r="F21" i="13"/>
  <c r="G21" i="13"/>
  <c r="H21" i="13"/>
  <c r="I21" i="13"/>
  <c r="J21" i="13"/>
  <c r="K21" i="13"/>
  <c r="L21" i="13"/>
  <c r="L20" i="13"/>
  <c r="K20" i="13"/>
  <c r="J20" i="13"/>
  <c r="I20" i="13"/>
  <c r="H20" i="13"/>
  <c r="G20" i="13"/>
  <c r="F20" i="13"/>
  <c r="E20" i="13"/>
  <c r="D20" i="13"/>
  <c r="L19" i="13"/>
  <c r="K19" i="13"/>
  <c r="J19" i="13"/>
  <c r="I19" i="13"/>
  <c r="H19" i="13"/>
  <c r="G19" i="13"/>
  <c r="F19" i="13"/>
  <c r="E19" i="13"/>
  <c r="D19" i="13"/>
  <c r="L18" i="13"/>
  <c r="K18" i="13"/>
  <c r="J18" i="13"/>
  <c r="I18" i="13"/>
  <c r="H18" i="13"/>
  <c r="G18" i="13"/>
  <c r="F18" i="13"/>
  <c r="E18" i="13"/>
  <c r="D18" i="13"/>
  <c r="L17" i="13"/>
  <c r="K17" i="13"/>
  <c r="J17" i="13"/>
  <c r="I17" i="13"/>
  <c r="H17" i="13"/>
  <c r="G17" i="13"/>
  <c r="F17" i="13"/>
  <c r="E17" i="13"/>
  <c r="D17" i="13"/>
  <c r="L16" i="13"/>
  <c r="K16" i="13"/>
  <c r="J16" i="13"/>
  <c r="I16" i="13"/>
  <c r="H16" i="13"/>
  <c r="G16" i="13"/>
  <c r="F16" i="13"/>
  <c r="E16" i="13"/>
  <c r="D16" i="13"/>
  <c r="L15" i="13"/>
  <c r="K15" i="13"/>
  <c r="J15" i="13"/>
  <c r="I15" i="13"/>
  <c r="H15" i="13"/>
  <c r="G15" i="13"/>
  <c r="F15" i="13"/>
  <c r="E15" i="13"/>
  <c r="D15" i="13"/>
  <c r="L14" i="13"/>
  <c r="K14" i="13"/>
  <c r="J14" i="13"/>
  <c r="I14" i="13"/>
  <c r="H14" i="13"/>
  <c r="G14" i="13"/>
  <c r="F14" i="13"/>
  <c r="E14" i="13"/>
  <c r="D14" i="13"/>
  <c r="L13" i="13"/>
  <c r="K13" i="13"/>
  <c r="J13" i="13"/>
  <c r="I13" i="13"/>
  <c r="H13" i="13"/>
  <c r="G13" i="13"/>
  <c r="F13" i="13"/>
  <c r="E13" i="13"/>
  <c r="D13" i="13"/>
  <c r="L12" i="13"/>
  <c r="K12" i="13"/>
  <c r="J12" i="13"/>
  <c r="I12" i="13"/>
  <c r="H12" i="13"/>
  <c r="G12" i="13"/>
  <c r="F12" i="13"/>
  <c r="E12" i="13"/>
  <c r="D12" i="13"/>
  <c r="L11" i="13"/>
  <c r="K11" i="13"/>
  <c r="J11" i="13"/>
  <c r="I11" i="13"/>
  <c r="H11" i="13"/>
  <c r="G11" i="13"/>
  <c r="F11" i="13"/>
  <c r="E11" i="13"/>
  <c r="D11" i="13"/>
  <c r="L10" i="13"/>
  <c r="K10" i="13"/>
  <c r="J10" i="13"/>
  <c r="I10" i="13"/>
  <c r="H10" i="13"/>
  <c r="G10" i="13"/>
  <c r="F10" i="13"/>
  <c r="E10" i="13"/>
  <c r="D10" i="13"/>
  <c r="L9" i="13"/>
  <c r="K9" i="13"/>
  <c r="J9" i="13"/>
  <c r="I9" i="13"/>
  <c r="H9" i="13"/>
  <c r="G9" i="13"/>
  <c r="F9" i="13"/>
  <c r="E9" i="13"/>
  <c r="D9" i="13"/>
  <c r="L8" i="13"/>
  <c r="K8" i="13"/>
  <c r="J8" i="13"/>
  <c r="I8" i="13"/>
  <c r="H8" i="13"/>
  <c r="G8" i="13"/>
  <c r="F8" i="13"/>
  <c r="E8" i="13"/>
  <c r="D8" i="13"/>
  <c r="L7" i="13"/>
  <c r="K7" i="13"/>
  <c r="J7" i="13"/>
  <c r="I7" i="13"/>
  <c r="H7" i="13"/>
  <c r="G7" i="13"/>
  <c r="F7" i="13"/>
  <c r="E7" i="13"/>
  <c r="D7" i="13"/>
  <c r="L6" i="13"/>
  <c r="K6" i="13"/>
  <c r="J6" i="13"/>
  <c r="I6" i="13"/>
  <c r="H6" i="13"/>
  <c r="G6" i="13"/>
  <c r="F6" i="13"/>
  <c r="E6" i="13"/>
  <c r="D6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B20" i="13"/>
  <c r="C32" i="6"/>
  <c r="D32" i="6"/>
  <c r="E32" i="6"/>
  <c r="F32" i="6"/>
  <c r="G32" i="6"/>
  <c r="H32" i="6"/>
  <c r="I32" i="6"/>
  <c r="J32" i="6"/>
  <c r="K32" i="6"/>
  <c r="B32" i="6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6" i="13"/>
  <c r="B2" i="13"/>
  <c r="M5" i="12"/>
  <c r="L3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M6" i="12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M19" i="12" s="1"/>
  <c r="C5" i="12"/>
  <c r="G3" i="12"/>
  <c r="B3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 s="1"/>
  <c r="C6" i="12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" i="11"/>
  <c r="L3" i="11"/>
  <c r="K3" i="11"/>
  <c r="J3" i="11"/>
  <c r="I3" i="11"/>
  <c r="H3" i="11"/>
  <c r="G3" i="11"/>
  <c r="F3" i="11"/>
  <c r="E3" i="11"/>
  <c r="D3" i="11"/>
  <c r="C3" i="11"/>
  <c r="L94" i="7"/>
  <c r="K94" i="7"/>
  <c r="J94" i="7"/>
  <c r="I94" i="7"/>
  <c r="H94" i="7"/>
  <c r="G94" i="7"/>
  <c r="F94" i="7"/>
  <c r="E94" i="7"/>
  <c r="D94" i="7"/>
  <c r="L93" i="7"/>
  <c r="K93" i="7"/>
  <c r="J93" i="7"/>
  <c r="I93" i="7"/>
  <c r="H93" i="7"/>
  <c r="G93" i="7"/>
  <c r="F93" i="7"/>
  <c r="E93" i="7"/>
  <c r="D93" i="7"/>
  <c r="L92" i="7"/>
  <c r="K92" i="7"/>
  <c r="J92" i="7"/>
  <c r="I92" i="7"/>
  <c r="H92" i="7"/>
  <c r="G92" i="7"/>
  <c r="F92" i="7"/>
  <c r="E92" i="7"/>
  <c r="D92" i="7"/>
  <c r="L91" i="7"/>
  <c r="K91" i="7"/>
  <c r="J91" i="7"/>
  <c r="I91" i="7"/>
  <c r="H91" i="7"/>
  <c r="G91" i="7"/>
  <c r="F91" i="7"/>
  <c r="E91" i="7"/>
  <c r="D91" i="7"/>
  <c r="L90" i="7"/>
  <c r="K90" i="7"/>
  <c r="J90" i="7"/>
  <c r="I90" i="7"/>
  <c r="H90" i="7"/>
  <c r="G90" i="7"/>
  <c r="F90" i="7"/>
  <c r="E90" i="7"/>
  <c r="D90" i="7"/>
  <c r="L89" i="7"/>
  <c r="K89" i="7"/>
  <c r="J89" i="7"/>
  <c r="I89" i="7"/>
  <c r="H89" i="7"/>
  <c r="G89" i="7"/>
  <c r="F89" i="7"/>
  <c r="E89" i="7"/>
  <c r="D89" i="7"/>
  <c r="C94" i="7"/>
  <c r="C93" i="7"/>
  <c r="C92" i="7"/>
  <c r="C91" i="7"/>
  <c r="C90" i="7"/>
  <c r="C89" i="7"/>
  <c r="L85" i="7"/>
  <c r="K85" i="7"/>
  <c r="J85" i="7"/>
  <c r="I85" i="7"/>
  <c r="H85" i="7"/>
  <c r="G85" i="7"/>
  <c r="F85" i="7"/>
  <c r="E85" i="7"/>
  <c r="D85" i="7"/>
  <c r="L84" i="7"/>
  <c r="K84" i="7"/>
  <c r="J84" i="7"/>
  <c r="I84" i="7"/>
  <c r="H84" i="7"/>
  <c r="G84" i="7"/>
  <c r="F84" i="7"/>
  <c r="E84" i="7"/>
  <c r="D84" i="7"/>
  <c r="L83" i="7"/>
  <c r="K83" i="7"/>
  <c r="J83" i="7"/>
  <c r="I83" i="7"/>
  <c r="H83" i="7"/>
  <c r="G83" i="7"/>
  <c r="F83" i="7"/>
  <c r="E83" i="7"/>
  <c r="D83" i="7"/>
  <c r="L82" i="7"/>
  <c r="K82" i="7"/>
  <c r="J82" i="7"/>
  <c r="I82" i="7"/>
  <c r="H82" i="7"/>
  <c r="G82" i="7"/>
  <c r="F82" i="7"/>
  <c r="E82" i="7"/>
  <c r="D82" i="7"/>
  <c r="L81" i="7"/>
  <c r="K81" i="7"/>
  <c r="J81" i="7"/>
  <c r="I81" i="7"/>
  <c r="H81" i="7"/>
  <c r="G81" i="7"/>
  <c r="F81" i="7"/>
  <c r="E81" i="7"/>
  <c r="D81" i="7"/>
  <c r="L80" i="7"/>
  <c r="K80" i="7"/>
  <c r="J80" i="7"/>
  <c r="I80" i="7"/>
  <c r="H80" i="7"/>
  <c r="G80" i="7"/>
  <c r="F80" i="7"/>
  <c r="E80" i="7"/>
  <c r="D80" i="7"/>
  <c r="L79" i="7"/>
  <c r="K79" i="7"/>
  <c r="J79" i="7"/>
  <c r="I79" i="7"/>
  <c r="H79" i="7"/>
  <c r="G79" i="7"/>
  <c r="F79" i="7"/>
  <c r="E79" i="7"/>
  <c r="D79" i="7"/>
  <c r="L78" i="7"/>
  <c r="K78" i="7"/>
  <c r="J78" i="7"/>
  <c r="I78" i="7"/>
  <c r="H78" i="7"/>
  <c r="G78" i="7"/>
  <c r="F78" i="7"/>
  <c r="E78" i="7"/>
  <c r="D78" i="7"/>
  <c r="L77" i="7"/>
  <c r="K77" i="7"/>
  <c r="J77" i="7"/>
  <c r="I77" i="7"/>
  <c r="H77" i="7"/>
  <c r="G77" i="7"/>
  <c r="F77" i="7"/>
  <c r="E77" i="7"/>
  <c r="D77" i="7"/>
  <c r="C85" i="7"/>
  <c r="C84" i="7"/>
  <c r="C83" i="7"/>
  <c r="C82" i="7"/>
  <c r="C81" i="7"/>
  <c r="C80" i="7"/>
  <c r="C79" i="7"/>
  <c r="C78" i="7"/>
  <c r="C77" i="7"/>
  <c r="L63" i="7"/>
  <c r="K63" i="7"/>
  <c r="J63" i="7"/>
  <c r="I63" i="7"/>
  <c r="H63" i="7"/>
  <c r="G63" i="7"/>
  <c r="F63" i="7"/>
  <c r="E63" i="7"/>
  <c r="D63" i="7"/>
  <c r="C63" i="7"/>
  <c r="L68" i="7"/>
  <c r="K68" i="7"/>
  <c r="J68" i="7"/>
  <c r="I68" i="7"/>
  <c r="H68" i="7"/>
  <c r="G68" i="7"/>
  <c r="F68" i="7"/>
  <c r="E68" i="7"/>
  <c r="D68" i="7"/>
  <c r="L67" i="7"/>
  <c r="K67" i="7"/>
  <c r="J67" i="7"/>
  <c r="I67" i="7"/>
  <c r="I29" i="11" s="1"/>
  <c r="I36" i="11" s="1"/>
  <c r="H67" i="7"/>
  <c r="H29" i="11" s="1"/>
  <c r="H36" i="11" s="1"/>
  <c r="G67" i="7"/>
  <c r="F67" i="7"/>
  <c r="E67" i="7"/>
  <c r="E29" i="11" s="1"/>
  <c r="E36" i="11" s="1"/>
  <c r="D67" i="7"/>
  <c r="L66" i="7"/>
  <c r="K66" i="7"/>
  <c r="J66" i="7"/>
  <c r="I66" i="7"/>
  <c r="H66" i="7"/>
  <c r="G66" i="7"/>
  <c r="F66" i="7"/>
  <c r="E66" i="7"/>
  <c r="D66" i="7"/>
  <c r="C68" i="7"/>
  <c r="C67" i="7"/>
  <c r="C66" i="7"/>
  <c r="L62" i="7"/>
  <c r="K62" i="7"/>
  <c r="J62" i="7"/>
  <c r="I62" i="7"/>
  <c r="H62" i="7"/>
  <c r="G62" i="7"/>
  <c r="F62" i="7"/>
  <c r="E62" i="7"/>
  <c r="D62" i="7"/>
  <c r="L61" i="7"/>
  <c r="K61" i="7"/>
  <c r="J61" i="7"/>
  <c r="I61" i="7"/>
  <c r="H61" i="7"/>
  <c r="G61" i="7"/>
  <c r="F61" i="7"/>
  <c r="E61" i="7"/>
  <c r="D61" i="7"/>
  <c r="L60" i="7"/>
  <c r="K60" i="7"/>
  <c r="J60" i="7"/>
  <c r="I60" i="7"/>
  <c r="H60" i="7"/>
  <c r="G60" i="7"/>
  <c r="F60" i="7"/>
  <c r="E60" i="7"/>
  <c r="D60" i="7"/>
  <c r="C62" i="7"/>
  <c r="C61" i="7"/>
  <c r="C60" i="7"/>
  <c r="L58" i="7"/>
  <c r="K58" i="7"/>
  <c r="J58" i="7"/>
  <c r="I58" i="7"/>
  <c r="H58" i="7"/>
  <c r="G58" i="7"/>
  <c r="F58" i="7"/>
  <c r="E58" i="7"/>
  <c r="D58" i="7"/>
  <c r="L57" i="7"/>
  <c r="L28" i="11" s="1"/>
  <c r="L35" i="11" s="1"/>
  <c r="K57" i="7"/>
  <c r="J57" i="7"/>
  <c r="I57" i="7"/>
  <c r="H57" i="7"/>
  <c r="G57" i="7"/>
  <c r="F57" i="7"/>
  <c r="E57" i="7"/>
  <c r="D57" i="7"/>
  <c r="D28" i="11" s="1"/>
  <c r="D35" i="11" s="1"/>
  <c r="L56" i="7"/>
  <c r="K56" i="7"/>
  <c r="J56" i="7"/>
  <c r="I56" i="7"/>
  <c r="H56" i="7"/>
  <c r="G56" i="7"/>
  <c r="F56" i="7"/>
  <c r="E56" i="7"/>
  <c r="D56" i="7"/>
  <c r="L55" i="7"/>
  <c r="K55" i="7"/>
  <c r="J55" i="7"/>
  <c r="I55" i="7"/>
  <c r="H55" i="7"/>
  <c r="G55" i="7"/>
  <c r="F55" i="7"/>
  <c r="E55" i="7"/>
  <c r="D55" i="7"/>
  <c r="L54" i="7"/>
  <c r="K54" i="7"/>
  <c r="J54" i="7"/>
  <c r="I54" i="7"/>
  <c r="H54" i="7"/>
  <c r="G54" i="7"/>
  <c r="F54" i="7"/>
  <c r="E54" i="7"/>
  <c r="D54" i="7"/>
  <c r="C58" i="7"/>
  <c r="C57" i="7"/>
  <c r="C56" i="7"/>
  <c r="C55" i="7"/>
  <c r="C54" i="7"/>
  <c r="D42" i="7"/>
  <c r="D47" i="7" s="1"/>
  <c r="E42" i="7"/>
  <c r="E47" i="7" s="1"/>
  <c r="F42" i="7"/>
  <c r="F47" i="7" s="1"/>
  <c r="G42" i="7"/>
  <c r="G47" i="7" s="1"/>
  <c r="H42" i="7"/>
  <c r="H47" i="7" s="1"/>
  <c r="I42" i="7"/>
  <c r="I47" i="7" s="1"/>
  <c r="J42" i="7"/>
  <c r="J47" i="7" s="1"/>
  <c r="K42" i="7"/>
  <c r="K47" i="7" s="1"/>
  <c r="L42" i="7"/>
  <c r="M42" i="7" s="1"/>
  <c r="M47" i="7" s="1"/>
  <c r="C42" i="7"/>
  <c r="C47" i="7" s="1"/>
  <c r="M36" i="7"/>
  <c r="L36" i="7"/>
  <c r="K36" i="7"/>
  <c r="J36" i="7"/>
  <c r="I36" i="7"/>
  <c r="H36" i="7"/>
  <c r="G36" i="7"/>
  <c r="F36" i="7"/>
  <c r="E36" i="7"/>
  <c r="D36" i="7"/>
  <c r="C36" i="7"/>
  <c r="M27" i="7"/>
  <c r="L27" i="7"/>
  <c r="K27" i="7"/>
  <c r="J27" i="7"/>
  <c r="I27" i="7"/>
  <c r="H27" i="7"/>
  <c r="G27" i="7"/>
  <c r="F27" i="7"/>
  <c r="E27" i="7"/>
  <c r="D27" i="7"/>
  <c r="C27" i="7"/>
  <c r="M24" i="7"/>
  <c r="C24" i="7"/>
  <c r="D24" i="7"/>
  <c r="E24" i="7"/>
  <c r="F24" i="7"/>
  <c r="G24" i="7"/>
  <c r="H24" i="7"/>
  <c r="I24" i="7"/>
  <c r="J24" i="7"/>
  <c r="K24" i="7"/>
  <c r="L24" i="7"/>
  <c r="L18" i="7"/>
  <c r="K18" i="7"/>
  <c r="J18" i="7"/>
  <c r="I18" i="7"/>
  <c r="H18" i="7"/>
  <c r="G18" i="7"/>
  <c r="F18" i="7"/>
  <c r="E18" i="7"/>
  <c r="D18" i="7"/>
  <c r="C18" i="7"/>
  <c r="D6" i="7"/>
  <c r="D12" i="7" s="1"/>
  <c r="D13" i="7" s="1"/>
  <c r="E6" i="7"/>
  <c r="F6" i="7"/>
  <c r="G6" i="7"/>
  <c r="G31" i="7" s="1"/>
  <c r="H6" i="7"/>
  <c r="H12" i="7" s="1"/>
  <c r="H13" i="7" s="1"/>
  <c r="I6" i="7"/>
  <c r="J6" i="7"/>
  <c r="K6" i="7"/>
  <c r="K31" i="7" s="1"/>
  <c r="L6" i="7"/>
  <c r="L12" i="7" s="1"/>
  <c r="L13" i="7" s="1"/>
  <c r="C6" i="7"/>
  <c r="L3" i="7"/>
  <c r="D3" i="7"/>
  <c r="E3" i="7"/>
  <c r="F3" i="7"/>
  <c r="G3" i="7"/>
  <c r="H3" i="7"/>
  <c r="I3" i="7"/>
  <c r="J3" i="7"/>
  <c r="K3" i="7"/>
  <c r="C3" i="7"/>
  <c r="B2" i="7"/>
  <c r="B6" i="6"/>
  <c r="E1" i="6"/>
  <c r="M31" i="7" l="1"/>
  <c r="C31" i="7"/>
  <c r="I31" i="7"/>
  <c r="E31" i="7"/>
  <c r="J31" i="7"/>
  <c r="F31" i="7"/>
  <c r="L31" i="7"/>
  <c r="H31" i="7"/>
  <c r="D31" i="7"/>
  <c r="H28" i="11"/>
  <c r="H35" i="11" s="1"/>
  <c r="C16" i="7"/>
  <c r="C19" i="7"/>
  <c r="C17" i="11" s="1"/>
  <c r="G19" i="7"/>
  <c r="G17" i="11" s="1"/>
  <c r="K19" i="7"/>
  <c r="M16" i="7"/>
  <c r="I16" i="7"/>
  <c r="E16" i="7"/>
  <c r="E19" i="7"/>
  <c r="I19" i="7"/>
  <c r="I17" i="11" s="1"/>
  <c r="K16" i="7"/>
  <c r="G16" i="7"/>
  <c r="K12" i="7"/>
  <c r="K13" i="7" s="1"/>
  <c r="G12" i="7"/>
  <c r="G13" i="7" s="1"/>
  <c r="F19" i="7"/>
  <c r="F17" i="11" s="1"/>
  <c r="J19" i="7"/>
  <c r="J17" i="11" s="1"/>
  <c r="I64" i="7"/>
  <c r="J16" i="7"/>
  <c r="F16" i="7"/>
  <c r="D16" i="7"/>
  <c r="H16" i="7"/>
  <c r="L16" i="7"/>
  <c r="M19" i="7"/>
  <c r="D19" i="7"/>
  <c r="D17" i="11" s="1"/>
  <c r="H19" i="7"/>
  <c r="H17" i="11" s="1"/>
  <c r="L19" i="7"/>
  <c r="L17" i="11" s="1"/>
  <c r="L21" i="7"/>
  <c r="H21" i="7"/>
  <c r="D21" i="7"/>
  <c r="J12" i="7"/>
  <c r="F12" i="7"/>
  <c r="C10" i="7"/>
  <c r="I7" i="7"/>
  <c r="I5" i="11" s="1"/>
  <c r="E7" i="7"/>
  <c r="E5" i="11" s="1"/>
  <c r="J9" i="11"/>
  <c r="F9" i="11"/>
  <c r="D64" i="7"/>
  <c r="H64" i="7"/>
  <c r="L64" i="7"/>
  <c r="F69" i="7"/>
  <c r="J27" i="11"/>
  <c r="J34" i="11" s="1"/>
  <c r="K10" i="7"/>
  <c r="I9" i="11"/>
  <c r="E9" i="11"/>
  <c r="C12" i="7"/>
  <c r="E10" i="7"/>
  <c r="I10" i="7"/>
  <c r="M10" i="7"/>
  <c r="G10" i="7"/>
  <c r="E64" i="7"/>
  <c r="M7" i="7"/>
  <c r="F10" i="7"/>
  <c r="J10" i="7"/>
  <c r="M12" i="7"/>
  <c r="I12" i="7"/>
  <c r="F7" i="7"/>
  <c r="F5" i="11" s="1"/>
  <c r="H10" i="7"/>
  <c r="L10" i="7"/>
  <c r="C64" i="7"/>
  <c r="G69" i="7"/>
  <c r="K69" i="7"/>
  <c r="F31" i="11"/>
  <c r="G7" i="7"/>
  <c r="G5" i="11" s="1"/>
  <c r="K7" i="7"/>
  <c r="K5" i="11" s="1"/>
  <c r="J7" i="7"/>
  <c r="J5" i="11" s="1"/>
  <c r="D10" i="7"/>
  <c r="E12" i="7"/>
  <c r="J31" i="11"/>
  <c r="H9" i="11"/>
  <c r="F64" i="7"/>
  <c r="J64" i="7"/>
  <c r="D69" i="7"/>
  <c r="H69" i="7"/>
  <c r="L69" i="7"/>
  <c r="D7" i="7"/>
  <c r="D5" i="11" s="1"/>
  <c r="H7" i="7"/>
  <c r="H5" i="11" s="1"/>
  <c r="L7" i="7"/>
  <c r="L5" i="11" s="1"/>
  <c r="G64" i="7"/>
  <c r="K64" i="7"/>
  <c r="C69" i="7"/>
  <c r="E69" i="7"/>
  <c r="I69" i="7"/>
  <c r="C100" i="7"/>
  <c r="D100" i="7"/>
  <c r="H100" i="7"/>
  <c r="L100" i="7"/>
  <c r="C112" i="7"/>
  <c r="G112" i="7"/>
  <c r="K112" i="7"/>
  <c r="J112" i="7"/>
  <c r="E112" i="7"/>
  <c r="I100" i="7"/>
  <c r="J86" i="7"/>
  <c r="J41" i="11" s="1"/>
  <c r="C86" i="7"/>
  <c r="G86" i="7"/>
  <c r="G41" i="11" s="1"/>
  <c r="K86" i="7"/>
  <c r="K41" i="11" s="1"/>
  <c r="E86" i="7"/>
  <c r="E39" i="11" s="1"/>
  <c r="I86" i="7"/>
  <c r="I41" i="11" s="1"/>
  <c r="F100" i="7"/>
  <c r="J100" i="7"/>
  <c r="F86" i="7"/>
  <c r="F41" i="11" s="1"/>
  <c r="D86" i="7"/>
  <c r="H86" i="7"/>
  <c r="H41" i="11" s="1"/>
  <c r="L86" i="7"/>
  <c r="L39" i="11" s="1"/>
  <c r="E100" i="7"/>
  <c r="L31" i="11"/>
  <c r="L27" i="11"/>
  <c r="L34" i="11" s="1"/>
  <c r="H31" i="11"/>
  <c r="H27" i="11"/>
  <c r="H34" i="11" s="1"/>
  <c r="D31" i="11"/>
  <c r="D27" i="11"/>
  <c r="D34" i="11" s="1"/>
  <c r="F29" i="11"/>
  <c r="F36" i="11" s="1"/>
  <c r="F28" i="11"/>
  <c r="F35" i="11" s="1"/>
  <c r="J29" i="11"/>
  <c r="J36" i="11" s="1"/>
  <c r="J28" i="11"/>
  <c r="J35" i="11" s="1"/>
  <c r="D112" i="7"/>
  <c r="H112" i="7"/>
  <c r="L112" i="7"/>
  <c r="E28" i="11"/>
  <c r="E35" i="11" s="1"/>
  <c r="L29" i="11"/>
  <c r="L36" i="11" s="1"/>
  <c r="J69" i="7"/>
  <c r="K30" i="11"/>
  <c r="K31" i="11"/>
  <c r="K27" i="11"/>
  <c r="K34" i="11" s="1"/>
  <c r="G30" i="11"/>
  <c r="G31" i="11"/>
  <c r="G27" i="11"/>
  <c r="G34" i="11" s="1"/>
  <c r="G29" i="11"/>
  <c r="G36" i="11" s="1"/>
  <c r="G28" i="11"/>
  <c r="G35" i="11" s="1"/>
  <c r="K29" i="11"/>
  <c r="K36" i="11" s="1"/>
  <c r="K28" i="11"/>
  <c r="K35" i="11" s="1"/>
  <c r="D9" i="11"/>
  <c r="I112" i="7"/>
  <c r="D30" i="11"/>
  <c r="I28" i="11"/>
  <c r="I35" i="11" s="1"/>
  <c r="H30" i="11"/>
  <c r="C31" i="11"/>
  <c r="C30" i="11"/>
  <c r="C27" i="11"/>
  <c r="I31" i="11"/>
  <c r="I27" i="11"/>
  <c r="I34" i="11" s="1"/>
  <c r="I30" i="11"/>
  <c r="E31" i="11"/>
  <c r="E27" i="11"/>
  <c r="E34" i="11" s="1"/>
  <c r="E30" i="11"/>
  <c r="C29" i="11"/>
  <c r="C28" i="11"/>
  <c r="J30" i="11"/>
  <c r="F30" i="11"/>
  <c r="K9" i="11"/>
  <c r="G9" i="11"/>
  <c r="G100" i="7"/>
  <c r="K100" i="7"/>
  <c r="F112" i="7"/>
  <c r="F27" i="11"/>
  <c r="F34" i="11" s="1"/>
  <c r="D29" i="11"/>
  <c r="D36" i="11" s="1"/>
  <c r="L30" i="11"/>
  <c r="L16" i="12"/>
  <c r="H16" i="12"/>
  <c r="H17" i="12" s="1"/>
  <c r="H18" i="12" s="1"/>
  <c r="H19" i="12" s="1"/>
  <c r="G16" i="12"/>
  <c r="D12" i="12"/>
  <c r="D11" i="12"/>
  <c r="E11" i="12" s="1"/>
  <c r="D14" i="12"/>
  <c r="D10" i="12"/>
  <c r="D6" i="12"/>
  <c r="E6" i="12" s="1"/>
  <c r="D8" i="12"/>
  <c r="D7" i="12"/>
  <c r="D13" i="12"/>
  <c r="D9" i="12"/>
  <c r="I25" i="7"/>
  <c r="E25" i="7"/>
  <c r="L47" i="7"/>
  <c r="L9" i="11" s="1"/>
  <c r="K17" i="11"/>
  <c r="M25" i="7"/>
  <c r="G28" i="7"/>
  <c r="G18" i="11" s="1"/>
  <c r="K28" i="7"/>
  <c r="K18" i="11" s="1"/>
  <c r="J25" i="7"/>
  <c r="F25" i="7"/>
  <c r="F28" i="7"/>
  <c r="F18" i="11" s="1"/>
  <c r="J28" i="7"/>
  <c r="J18" i="11" s="1"/>
  <c r="E17" i="11"/>
  <c r="L25" i="7"/>
  <c r="H25" i="7"/>
  <c r="D25" i="7"/>
  <c r="D28" i="7"/>
  <c r="D18" i="11" s="1"/>
  <c r="H28" i="7"/>
  <c r="H18" i="11" s="1"/>
  <c r="L28" i="7"/>
  <c r="L18" i="11" s="1"/>
  <c r="K25" i="7"/>
  <c r="G25" i="7"/>
  <c r="C25" i="7"/>
  <c r="E28" i="7"/>
  <c r="E18" i="11" s="1"/>
  <c r="I28" i="7"/>
  <c r="I18" i="11" s="1"/>
  <c r="M28" i="7"/>
  <c r="C28" i="7"/>
  <c r="C18" i="11" s="1"/>
  <c r="H37" i="11" l="1"/>
  <c r="D114" i="7"/>
  <c r="F71" i="7"/>
  <c r="F73" i="7" s="1"/>
  <c r="H22" i="7"/>
  <c r="H33" i="7"/>
  <c r="D22" i="7"/>
  <c r="D33" i="7"/>
  <c r="L71" i="7"/>
  <c r="L73" i="7" s="1"/>
  <c r="L22" i="7"/>
  <c r="L33" i="7"/>
  <c r="G21" i="7"/>
  <c r="J71" i="7"/>
  <c r="J73" i="7" s="1"/>
  <c r="G39" i="11"/>
  <c r="C71" i="7"/>
  <c r="C73" i="7" s="1"/>
  <c r="I71" i="7"/>
  <c r="I73" i="7" s="1"/>
  <c r="G71" i="7"/>
  <c r="G73" i="7" s="1"/>
  <c r="K21" i="7"/>
  <c r="D71" i="7"/>
  <c r="D73" i="7" s="1"/>
  <c r="E13" i="7"/>
  <c r="E11" i="11" s="1"/>
  <c r="E21" i="7"/>
  <c r="I13" i="7"/>
  <c r="I11" i="11" s="1"/>
  <c r="I21" i="7"/>
  <c r="F13" i="7"/>
  <c r="F11" i="11" s="1"/>
  <c r="F21" i="7"/>
  <c r="C114" i="7"/>
  <c r="M13" i="7"/>
  <c r="M21" i="7"/>
  <c r="J13" i="7"/>
  <c r="J11" i="11" s="1"/>
  <c r="J21" i="7"/>
  <c r="I39" i="11"/>
  <c r="E114" i="7"/>
  <c r="E71" i="7"/>
  <c r="E73" i="7" s="1"/>
  <c r="H71" i="7"/>
  <c r="H73" i="7" s="1"/>
  <c r="K71" i="7"/>
  <c r="K73" i="7" s="1"/>
  <c r="C13" i="7"/>
  <c r="C11" i="11" s="1"/>
  <c r="C21" i="7"/>
  <c r="C33" i="7" s="1"/>
  <c r="D37" i="11"/>
  <c r="I37" i="11"/>
  <c r="E37" i="11"/>
  <c r="J39" i="11"/>
  <c r="F114" i="7"/>
  <c r="G37" i="11"/>
  <c r="K37" i="11"/>
  <c r="L37" i="11"/>
  <c r="E41" i="11"/>
  <c r="D39" i="11"/>
  <c r="C39" i="11"/>
  <c r="F39" i="11"/>
  <c r="J114" i="7"/>
  <c r="K40" i="11"/>
  <c r="I114" i="7"/>
  <c r="D41" i="11"/>
  <c r="C41" i="11"/>
  <c r="K114" i="7"/>
  <c r="H114" i="7"/>
  <c r="L41" i="11"/>
  <c r="H39" i="11"/>
  <c r="K39" i="11"/>
  <c r="L114" i="7"/>
  <c r="G114" i="7"/>
  <c r="O5" i="11"/>
  <c r="P5" i="11"/>
  <c r="C35" i="11"/>
  <c r="P28" i="11"/>
  <c r="O28" i="11"/>
  <c r="P27" i="11"/>
  <c r="C34" i="11"/>
  <c r="O27" i="11"/>
  <c r="O9" i="11"/>
  <c r="P9" i="11"/>
  <c r="C36" i="11"/>
  <c r="P29" i="11"/>
  <c r="O29" i="11"/>
  <c r="O30" i="11"/>
  <c r="P30" i="11"/>
  <c r="J37" i="11"/>
  <c r="P17" i="11"/>
  <c r="O17" i="11"/>
  <c r="P31" i="11"/>
  <c r="O31" i="11"/>
  <c r="P18" i="11"/>
  <c r="O18" i="11"/>
  <c r="F37" i="11"/>
  <c r="E8" i="12"/>
  <c r="D18" i="12"/>
  <c r="E9" i="12"/>
  <c r="E12" i="12"/>
  <c r="D16" i="12"/>
  <c r="D19" i="12"/>
  <c r="E13" i="12"/>
  <c r="E10" i="12"/>
  <c r="D15" i="12"/>
  <c r="E15" i="12" s="1"/>
  <c r="E7" i="12"/>
  <c r="E14" i="12"/>
  <c r="D17" i="12"/>
  <c r="L17" i="12"/>
  <c r="G17" i="12"/>
  <c r="H11" i="11"/>
  <c r="D11" i="11"/>
  <c r="G11" i="11"/>
  <c r="L11" i="11"/>
  <c r="K11" i="11"/>
  <c r="F40" i="11" l="1"/>
  <c r="G40" i="11"/>
  <c r="L40" i="11"/>
  <c r="H34" i="7"/>
  <c r="H37" i="7"/>
  <c r="C34" i="7"/>
  <c r="C37" i="7"/>
  <c r="F22" i="7"/>
  <c r="F12" i="11" s="1"/>
  <c r="F33" i="7"/>
  <c r="E22" i="7"/>
  <c r="E12" i="11" s="1"/>
  <c r="E33" i="7"/>
  <c r="M22" i="7"/>
  <c r="M33" i="7"/>
  <c r="G22" i="7"/>
  <c r="G33" i="7"/>
  <c r="D34" i="7"/>
  <c r="D37" i="7"/>
  <c r="J22" i="7"/>
  <c r="J12" i="11" s="1"/>
  <c r="J33" i="7"/>
  <c r="K22" i="7"/>
  <c r="K33" i="7"/>
  <c r="I22" i="7"/>
  <c r="I12" i="11" s="1"/>
  <c r="I33" i="7"/>
  <c r="L34" i="7"/>
  <c r="L37" i="7"/>
  <c r="E40" i="11"/>
  <c r="J40" i="11"/>
  <c r="I40" i="11"/>
  <c r="C40" i="11"/>
  <c r="H40" i="11"/>
  <c r="D40" i="11"/>
  <c r="C39" i="7"/>
  <c r="C40" i="7" s="1"/>
  <c r="C22" i="7"/>
  <c r="C12" i="11" s="1"/>
  <c r="C13" i="11"/>
  <c r="C19" i="11" s="1"/>
  <c r="C21" i="11"/>
  <c r="C25" i="11"/>
  <c r="O39" i="11"/>
  <c r="O41" i="11"/>
  <c r="P39" i="11"/>
  <c r="P41" i="11"/>
  <c r="O11" i="11"/>
  <c r="I5" i="12" a="1"/>
  <c r="I5" i="12" s="1"/>
  <c r="E19" i="12"/>
  <c r="I6" i="11"/>
  <c r="I21" i="11"/>
  <c r="I13" i="11"/>
  <c r="I19" i="11" s="1"/>
  <c r="I25" i="11"/>
  <c r="I7" i="11"/>
  <c r="K25" i="11"/>
  <c r="K7" i="11"/>
  <c r="K6" i="11"/>
  <c r="K13" i="11"/>
  <c r="K19" i="11" s="1"/>
  <c r="K21" i="11"/>
  <c r="J21" i="11"/>
  <c r="J13" i="11"/>
  <c r="J19" i="11" s="1"/>
  <c r="J25" i="11"/>
  <c r="J7" i="11"/>
  <c r="J6" i="11"/>
  <c r="D21" i="11"/>
  <c r="D13" i="11"/>
  <c r="D19" i="11" s="1"/>
  <c r="D25" i="11"/>
  <c r="D6" i="11"/>
  <c r="D7" i="11"/>
  <c r="H6" i="11"/>
  <c r="H21" i="11"/>
  <c r="H13" i="11"/>
  <c r="H19" i="11" s="1"/>
  <c r="H7" i="11"/>
  <c r="H25" i="11"/>
  <c r="P11" i="11"/>
  <c r="F21" i="11"/>
  <c r="F13" i="11"/>
  <c r="F19" i="11" s="1"/>
  <c r="F25" i="11"/>
  <c r="F7" i="11"/>
  <c r="F6" i="11"/>
  <c r="L6" i="11"/>
  <c r="L21" i="11"/>
  <c r="L13" i="11"/>
  <c r="L19" i="11" s="1"/>
  <c r="L7" i="11"/>
  <c r="L25" i="11"/>
  <c r="G25" i="11"/>
  <c r="G7" i="11"/>
  <c r="G6" i="11"/>
  <c r="G13" i="11"/>
  <c r="G19" i="11" s="1"/>
  <c r="G21" i="11"/>
  <c r="E6" i="11"/>
  <c r="E21" i="11"/>
  <c r="E13" i="11"/>
  <c r="E19" i="11" s="1"/>
  <c r="E25" i="11"/>
  <c r="E7" i="11"/>
  <c r="O36" i="11"/>
  <c r="P36" i="11"/>
  <c r="P34" i="11"/>
  <c r="O34" i="11"/>
  <c r="P35" i="11"/>
  <c r="O35" i="11"/>
  <c r="C37" i="11"/>
  <c r="E17" i="12"/>
  <c r="E18" i="12"/>
  <c r="E16" i="12"/>
  <c r="L18" i="12"/>
  <c r="G18" i="12"/>
  <c r="C14" i="11"/>
  <c r="G12" i="11"/>
  <c r="K12" i="11"/>
  <c r="D12" i="11"/>
  <c r="H12" i="11"/>
  <c r="L12" i="11"/>
  <c r="P40" i="11" l="1"/>
  <c r="K34" i="7"/>
  <c r="K14" i="11" s="1"/>
  <c r="K37" i="7"/>
  <c r="M34" i="7"/>
  <c r="M37" i="7"/>
  <c r="F34" i="7"/>
  <c r="F37" i="7"/>
  <c r="M39" i="7"/>
  <c r="M40" i="7" s="1"/>
  <c r="O40" i="11"/>
  <c r="I34" i="7"/>
  <c r="I37" i="7"/>
  <c r="J34" i="7"/>
  <c r="J14" i="11" s="1"/>
  <c r="J37" i="7"/>
  <c r="G34" i="7"/>
  <c r="G14" i="11" s="1"/>
  <c r="G37" i="7"/>
  <c r="E34" i="7"/>
  <c r="E14" i="11" s="1"/>
  <c r="E37" i="7"/>
  <c r="I8" i="12"/>
  <c r="O25" i="11"/>
  <c r="I12" i="12"/>
  <c r="I6" i="12"/>
  <c r="J6" i="12" s="1"/>
  <c r="P12" i="11"/>
  <c r="I7" i="12"/>
  <c r="I13" i="12"/>
  <c r="I10" i="12"/>
  <c r="O12" i="11"/>
  <c r="O21" i="11"/>
  <c r="I9" i="12"/>
  <c r="I14" i="12"/>
  <c r="I11" i="12"/>
  <c r="P19" i="11"/>
  <c r="O19" i="11"/>
  <c r="P21" i="11"/>
  <c r="O13" i="11"/>
  <c r="P25" i="11"/>
  <c r="O6" i="11"/>
  <c r="P6" i="11"/>
  <c r="C44" i="7"/>
  <c r="C48" i="7" s="1"/>
  <c r="C50" i="7" s="1"/>
  <c r="C22" i="11" s="1"/>
  <c r="C23" i="11"/>
  <c r="P13" i="11"/>
  <c r="O37" i="11"/>
  <c r="P37" i="11"/>
  <c r="P7" i="11"/>
  <c r="O7" i="11"/>
  <c r="L19" i="12"/>
  <c r="G19" i="12"/>
  <c r="C15" i="11"/>
  <c r="E39" i="7"/>
  <c r="E40" i="7" s="1"/>
  <c r="D14" i="11"/>
  <c r="D39" i="7"/>
  <c r="D40" i="7" s="1"/>
  <c r="K39" i="7"/>
  <c r="K40" i="7" s="1"/>
  <c r="G39" i="7"/>
  <c r="G40" i="7" s="1"/>
  <c r="I14" i="11"/>
  <c r="I39" i="7"/>
  <c r="I40" i="7" s="1"/>
  <c r="L14" i="11"/>
  <c r="L39" i="7"/>
  <c r="L40" i="7" s="1"/>
  <c r="H14" i="11"/>
  <c r="H39" i="7"/>
  <c r="H40" i="7" s="1"/>
  <c r="J39" i="7"/>
  <c r="J40" i="7" s="1"/>
  <c r="F39" i="7"/>
  <c r="F40" i="7" s="1"/>
  <c r="F14" i="11"/>
  <c r="M44" i="7" l="1"/>
  <c r="M48" i="7" s="1"/>
  <c r="M50" i="7" s="1"/>
  <c r="J13" i="12"/>
  <c r="J8" i="12"/>
  <c r="J7" i="12"/>
  <c r="J12" i="12"/>
  <c r="J14" i="12"/>
  <c r="P14" i="11"/>
  <c r="I15" i="12"/>
  <c r="J15" i="12" s="1"/>
  <c r="J11" i="12"/>
  <c r="J10" i="12"/>
  <c r="I17" i="12"/>
  <c r="J9" i="12"/>
  <c r="I16" i="12"/>
  <c r="I18" i="12"/>
  <c r="I8" i="11"/>
  <c r="I23" i="11"/>
  <c r="K23" i="11"/>
  <c r="K8" i="11"/>
  <c r="E8" i="11"/>
  <c r="E23" i="11"/>
  <c r="L23" i="11"/>
  <c r="L8" i="11"/>
  <c r="G23" i="11"/>
  <c r="G8" i="11"/>
  <c r="D23" i="11"/>
  <c r="D8" i="11"/>
  <c r="O14" i="11"/>
  <c r="J23" i="11"/>
  <c r="J8" i="11"/>
  <c r="C24" i="11"/>
  <c r="F23" i="11"/>
  <c r="F8" i="11"/>
  <c r="H23" i="11"/>
  <c r="H8" i="11"/>
  <c r="I19" i="12"/>
  <c r="J44" i="7"/>
  <c r="J15" i="11"/>
  <c r="I15" i="11"/>
  <c r="I44" i="7"/>
  <c r="K44" i="7"/>
  <c r="K15" i="11"/>
  <c r="E15" i="11"/>
  <c r="E44" i="7"/>
  <c r="G44" i="7"/>
  <c r="G15" i="11"/>
  <c r="L44" i="7"/>
  <c r="L15" i="11"/>
  <c r="D15" i="11"/>
  <c r="D44" i="7"/>
  <c r="F44" i="7"/>
  <c r="F15" i="11"/>
  <c r="H15" i="11"/>
  <c r="H44" i="7"/>
  <c r="N5" i="12" l="1" a="1"/>
  <c r="N5" i="12" s="1"/>
  <c r="J16" i="12"/>
  <c r="O23" i="11"/>
  <c r="O15" i="11"/>
  <c r="J18" i="12"/>
  <c r="J19" i="12"/>
  <c r="J17" i="12"/>
  <c r="P23" i="11"/>
  <c r="P15" i="11"/>
  <c r="P8" i="11"/>
  <c r="O8" i="11"/>
  <c r="G45" i="7"/>
  <c r="G48" i="7"/>
  <c r="G50" i="7" s="1"/>
  <c r="G22" i="11" s="1"/>
  <c r="G24" i="11" s="1"/>
  <c r="K45" i="7"/>
  <c r="K48" i="7"/>
  <c r="K50" i="7" s="1"/>
  <c r="K22" i="11" s="1"/>
  <c r="K24" i="11" s="1"/>
  <c r="J45" i="7"/>
  <c r="J48" i="7"/>
  <c r="J50" i="7" s="1"/>
  <c r="J22" i="11" s="1"/>
  <c r="J24" i="11" s="1"/>
  <c r="E45" i="7"/>
  <c r="E48" i="7"/>
  <c r="E50" i="7" s="1"/>
  <c r="E22" i="11" s="1"/>
  <c r="E24" i="11" s="1"/>
  <c r="I45" i="7"/>
  <c r="I48" i="7"/>
  <c r="I50" i="7" s="1"/>
  <c r="I22" i="11" s="1"/>
  <c r="I24" i="11" s="1"/>
  <c r="F45" i="7"/>
  <c r="F48" i="7"/>
  <c r="F50" i="7" s="1"/>
  <c r="F22" i="11" s="1"/>
  <c r="F24" i="11" s="1"/>
  <c r="L45" i="7"/>
  <c r="L48" i="7"/>
  <c r="L50" i="7" s="1"/>
  <c r="L22" i="11" s="1"/>
  <c r="L24" i="11" s="1"/>
  <c r="M45" i="7"/>
  <c r="H45" i="7"/>
  <c r="H48" i="7"/>
  <c r="H50" i="7" s="1"/>
  <c r="H22" i="11" s="1"/>
  <c r="H24" i="11" s="1"/>
  <c r="D45" i="7"/>
  <c r="D48" i="7"/>
  <c r="D50" i="7" s="1"/>
  <c r="D22" i="11" s="1"/>
  <c r="N12" i="12" l="1"/>
  <c r="N6" i="12"/>
  <c r="N14" i="12"/>
  <c r="N7" i="12"/>
  <c r="N8" i="12"/>
  <c r="N13" i="12"/>
  <c r="N11" i="12"/>
  <c r="N10" i="12"/>
  <c r="N9" i="12"/>
  <c r="O6" i="12"/>
  <c r="D24" i="11"/>
  <c r="P22" i="11"/>
  <c r="O22" i="11"/>
  <c r="O14" i="12" l="1"/>
  <c r="O13" i="12"/>
  <c r="O7" i="12"/>
  <c r="O9" i="12"/>
  <c r="O8" i="12"/>
  <c r="N18" i="12"/>
  <c r="N17" i="12"/>
  <c r="N19" i="12"/>
  <c r="N16" i="12"/>
  <c r="O11" i="12"/>
  <c r="O12" i="12"/>
  <c r="N15" i="12"/>
  <c r="O15" i="12" s="1"/>
  <c r="O10" i="12"/>
  <c r="P24" i="11"/>
  <c r="O24" i="11"/>
  <c r="O16" i="12" l="1"/>
  <c r="O17" i="12"/>
  <c r="O18" i="12"/>
  <c r="O19" i="12"/>
</calcChain>
</file>

<file path=xl/sharedStrings.xml><?xml version="1.0" encoding="utf-8"?>
<sst xmlns="http://schemas.openxmlformats.org/spreadsheetml/2006/main" count="241" uniqueCount="174">
  <si>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</si>
  <si>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</si>
  <si>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</si>
  <si>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</si>
  <si>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</si>
  <si>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</si>
  <si>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</si>
  <si>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</si>
  <si>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</si>
  <si>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</si>
  <si>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</si>
  <si>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</si>
  <si>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</si>
  <si>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</si>
  <si>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</si>
  <si>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</si>
  <si>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</si>
  <si>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</si>
  <si>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</si>
  <si>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</si>
  <si>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</si>
  <si>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</si>
  <si>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</si>
  <si>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</si>
  <si>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</si>
  <si>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</si>
  <si>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</si>
  <si>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</si>
  <si>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</si>
  <si>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</si>
  <si>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</si>
  <si>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</si>
  <si>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</si>
  <si>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</si>
  <si>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HINDUSTAN UNILEVER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</si>
  <si>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</si>
  <si>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</si>
  <si>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</si>
  <si>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</si>
  <si>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</si>
  <si>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</si>
  <si>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</si>
  <si>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</si>
  <si>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</si>
  <si>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</si>
  <si>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</si>
  <si>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</si>
  <si>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</si>
  <si>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</si>
  <si>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</si>
  <si>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</si>
  <si>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</si>
  <si>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</si>
  <si>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</si>
  <si>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</si>
  <si>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</si>
  <si>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 xml:space="preserve">Years </t>
  </si>
  <si>
    <t>LTM</t>
  </si>
  <si>
    <t>#</t>
  </si>
  <si>
    <t xml:space="preserve">Income Statement </t>
  </si>
  <si>
    <t xml:space="preserve">Sales Growth </t>
  </si>
  <si>
    <t>-</t>
  </si>
  <si>
    <t xml:space="preserve">Gross Profit </t>
  </si>
  <si>
    <t xml:space="preserve">Selling &amp; General Expenses </t>
  </si>
  <si>
    <t>SG&amp;A % Sales</t>
  </si>
  <si>
    <t>EBITDA</t>
  </si>
  <si>
    <t>EBITDA % Sales</t>
  </si>
  <si>
    <t xml:space="preserve">Interest </t>
  </si>
  <si>
    <t>Interest % Sales</t>
  </si>
  <si>
    <t>Depreciation % Sales</t>
  </si>
  <si>
    <t>Gross Margins</t>
  </si>
  <si>
    <t xml:space="preserve">Earnings Before Tax </t>
  </si>
  <si>
    <t>EBT % Sales</t>
  </si>
  <si>
    <t xml:space="preserve">Tax </t>
  </si>
  <si>
    <t xml:space="preserve">Effective Tax rate </t>
  </si>
  <si>
    <t>Net Profit</t>
  </si>
  <si>
    <t>Net Margin</t>
  </si>
  <si>
    <t>No. of Equity Shares O/S</t>
  </si>
  <si>
    <t xml:space="preserve">Earnings Per Share </t>
  </si>
  <si>
    <t xml:space="preserve">Dividends Per Share </t>
  </si>
  <si>
    <t xml:space="preserve">EPS growth % </t>
  </si>
  <si>
    <t xml:space="preserve">Dividend Payout Ratio </t>
  </si>
  <si>
    <t>Retained Earnings</t>
  </si>
  <si>
    <t xml:space="preserve">Balance Sheet </t>
  </si>
  <si>
    <t>Total Liabilities</t>
  </si>
  <si>
    <t>Fixed Assets Net Block</t>
  </si>
  <si>
    <t xml:space="preserve">Total Non Current Asset </t>
  </si>
  <si>
    <t xml:space="preserve">Total Current Asset </t>
  </si>
  <si>
    <t xml:space="preserve">Total Asset 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</si>
  <si>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</si>
  <si>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</si>
  <si>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</si>
  <si>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</si>
  <si>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</si>
  <si>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</si>
  <si>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</si>
  <si>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</si>
  <si>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</si>
  <si>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</si>
  <si>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</si>
  <si>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</si>
  <si>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</si>
  <si>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</si>
  <si>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</si>
  <si>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</si>
  <si>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t>Proceeds from shares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</si>
  <si>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</si>
  <si>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</si>
  <si>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</si>
  <si>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</si>
  <si>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</si>
  <si>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</si>
  <si>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Application money refund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</si>
  <si>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</si>
  <si>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</si>
  <si>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</si>
  <si>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</si>
  <si>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</si>
  <si>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</si>
  <si>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 xml:space="preserve">Cash Flow Statement </t>
  </si>
  <si>
    <t xml:space="preserve"> Operating Activities</t>
  </si>
  <si>
    <t xml:space="preserve">Cash from Operating Activities </t>
  </si>
  <si>
    <t xml:space="preserve">Investing Activities </t>
  </si>
  <si>
    <t xml:space="preserve">Cash from Investing Activities </t>
  </si>
  <si>
    <t>Financing Activities</t>
  </si>
  <si>
    <t xml:space="preserve">Cash from Financing  Activities </t>
  </si>
  <si>
    <t>EBITDA growth</t>
  </si>
  <si>
    <t>EBIT growth</t>
  </si>
  <si>
    <t>Net profit growth</t>
  </si>
  <si>
    <t>EBITDA margin</t>
  </si>
  <si>
    <t>Gross margin</t>
  </si>
  <si>
    <t xml:space="preserve">EBIT margin </t>
  </si>
  <si>
    <t xml:space="preserve">Sales growth </t>
  </si>
  <si>
    <t>Dividend growth</t>
  </si>
  <si>
    <t>Net Profit margin</t>
  </si>
  <si>
    <t>SalesExpenses%sales</t>
  </si>
  <si>
    <t>Depreciation%sales</t>
  </si>
  <si>
    <t>OperatingIncome%sales</t>
  </si>
  <si>
    <t>Return on Capital Employed</t>
  </si>
  <si>
    <t xml:space="preserve">Retained earnings % </t>
  </si>
  <si>
    <t xml:space="preserve">Return on equity % </t>
  </si>
  <si>
    <t xml:space="preserve">Self sustained growth rate </t>
  </si>
  <si>
    <t>Interest Coverage ratio</t>
  </si>
  <si>
    <t>Debtor Turnover ratio</t>
  </si>
  <si>
    <t>Creditor Turnover ratio</t>
  </si>
  <si>
    <t>Inventory Turnover ratio</t>
  </si>
  <si>
    <t>Fixed Asset Turnover ratio</t>
  </si>
  <si>
    <t>Capital Turnover ratio</t>
  </si>
  <si>
    <t>Payable days</t>
  </si>
  <si>
    <t>Inventory days</t>
  </si>
  <si>
    <t>Cash Conversion Cycle</t>
  </si>
  <si>
    <t>Debtors days</t>
  </si>
  <si>
    <t>CFO/Sales</t>
  </si>
  <si>
    <t>CFO/Total Assets</t>
  </si>
  <si>
    <t xml:space="preserve">CFO/Total Debt </t>
  </si>
  <si>
    <t>EBT margin</t>
  </si>
  <si>
    <t>(in days)</t>
  </si>
  <si>
    <t>Mean</t>
  </si>
  <si>
    <t>Median</t>
  </si>
  <si>
    <t xml:space="preserve">Trend </t>
  </si>
  <si>
    <t xml:space="preserve">Year Weight </t>
  </si>
  <si>
    <t>Year</t>
  </si>
  <si>
    <t>EBITDA Growth</t>
  </si>
  <si>
    <t>EPS Growth</t>
  </si>
  <si>
    <t>Invest in subsidiaries</t>
  </si>
  <si>
    <t>Loans to subsidiaries</t>
  </si>
  <si>
    <t>Redemp n Canc of Shares</t>
  </si>
  <si>
    <t xml:space="preserve">Particulars </t>
  </si>
  <si>
    <t>Total Assets</t>
  </si>
  <si>
    <t>COGS</t>
  </si>
  <si>
    <t>COGS % Sales</t>
  </si>
  <si>
    <t>Employee Compenstation</t>
  </si>
  <si>
    <t>Employee Compenstation%  Sales</t>
  </si>
  <si>
    <t>Other Income%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</si>
</sst>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;[Red]&quot;₹&quot;\ #,##0.0"/>
    <numFmt numFmtId="167" formatCode="&quot;₹&quot;\ #,##0.0;\(&quot;₹&quot;\ #,##0.0\);\-"/>
    <numFmt numFmtId="168" formatCode="0.00&quot;x&quot;"/>
    <numFmt numFmtId="169" formatCode="0\ "/>
    <numFmt numFmtId="170" formatCode="yyyy"/>
    <numFmt numFmtId="171" formatCode="yyyy&quot;A&quot;"/>
    <numFmt numFmtId="172" formatCode="yyyy&quot;E&quot;"/>
    <numFmt numFmtId="173" formatCode="#,##0.0"/>
    <numFmt numFmtId="175" formatCode="&quot;₹&quot;\ #,##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71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0" fontId="0" fillId="0" borderId="0" xfId="0" applyAlignment="1">
      <alignment horizontal="left"/>
    </xf>
    <xf numFmtId="164" fontId="0" fillId="0" borderId="0" xfId="1" applyNumberFormat="1" applyFont="1" applyBorder="1"/>
    <xf numFmtId="0" fontId="5" fillId="4" borderId="0" xfId="0" applyFont="1" applyFill="1"/>
    <xf numFmtId="17" fontId="5" fillId="4" borderId="0" xfId="0" applyNumberFormat="1" applyFont="1" applyFill="1"/>
    <xf numFmtId="0" fontId="5" fillId="4" borderId="0" xfId="0" applyFont="1" applyFill="1" applyAlignment="1">
      <alignment horizontal="right"/>
    </xf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5" fillId="6" borderId="0" xfId="0" applyFont="1" applyFill="1"/>
    <xf numFmtId="17" fontId="5" fillId="6" borderId="0" xfId="0" applyNumberFormat="1" applyFont="1" applyFill="1"/>
    <xf numFmtId="0" fontId="5" fillId="6" borderId="0" xfId="0" applyFont="1" applyFill="1" applyAlignment="1">
      <alignment horizontal="right"/>
    </xf>
    <xf numFmtId="167" fontId="0" fillId="0" borderId="0" xfId="0" applyNumberFormat="1"/>
    <xf numFmtId="167" fontId="0" fillId="0" borderId="0" xfId="0" applyNumberFormat="1" applyAlignment="1">
      <alignment horizontal="center"/>
    </xf>
    <xf numFmtId="167" fontId="1" fillId="0" borderId="0" xfId="0" applyNumberFormat="1" applyFont="1"/>
    <xf numFmtId="17" fontId="0" fillId="0" borderId="0" xfId="0" applyNumberFormat="1"/>
    <xf numFmtId="3" fontId="0" fillId="0" borderId="0" xfId="0" applyNumberFormat="1"/>
    <xf numFmtId="9" fontId="0" fillId="0" borderId="0" xfId="0" applyNumberFormat="1"/>
    <xf numFmtId="0" fontId="1" fillId="0" borderId="1" xfId="0" applyFont="1" applyBorder="1"/>
    <xf numFmtId="167" fontId="1" fillId="0" borderId="1" xfId="0" applyNumberFormat="1" applyFont="1" applyBorder="1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2" xfId="0" applyBorder="1"/>
    <xf numFmtId="10" fontId="0" fillId="0" borderId="2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3" xfId="0" applyBorder="1"/>
    <xf numFmtId="10" fontId="0" fillId="0" borderId="3" xfId="0" applyNumberFormat="1" applyBorder="1" applyAlignment="1">
      <alignment horizontal="center"/>
    </xf>
    <xf numFmtId="10" fontId="0" fillId="0" borderId="0" xfId="4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0" fontId="8" fillId="0" borderId="2" xfId="0" applyFont="1" applyBorder="1"/>
    <xf numFmtId="0" fontId="0" fillId="0" borderId="2" xfId="0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3" xfId="0" applyNumberFormat="1" applyBorder="1" applyAlignment="1">
      <alignment horizontal="center"/>
    </xf>
    <xf numFmtId="10" fontId="0" fillId="0" borderId="0" xfId="4" applyNumberFormat="1" applyFont="1"/>
    <xf numFmtId="10" fontId="0" fillId="0" borderId="2" xfId="4" applyNumberFormat="1" applyFont="1" applyBorder="1" applyAlignment="1">
      <alignment horizontal="center"/>
    </xf>
    <xf numFmtId="10" fontId="0" fillId="0" borderId="3" xfId="4" applyNumberFormat="1" applyFont="1" applyBorder="1" applyAlignment="1">
      <alignment horizontal="center"/>
    </xf>
    <xf numFmtId="10" fontId="0" fillId="0" borderId="2" xfId="4" applyNumberFormat="1" applyFont="1" applyBorder="1"/>
    <xf numFmtId="17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170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173" fontId="0" fillId="0" borderId="0" xfId="0" applyNumberFormat="1"/>
    <xf numFmtId="0" fontId="0" fillId="7" borderId="0" xfId="0" applyFill="1" applyAlignment="1">
      <alignment horizontal="left"/>
    </xf>
    <xf numFmtId="172" fontId="0" fillId="7" borderId="0" xfId="0" applyNumberFormat="1" applyFill="1" applyAlignment="1">
      <alignment horizontal="right"/>
    </xf>
    <xf numFmtId="173" fontId="0" fillId="7" borderId="0" xfId="0" applyNumberFormat="1" applyFill="1"/>
    <xf numFmtId="10" fontId="0" fillId="7" borderId="0" xfId="4" applyNumberFormat="1" applyFont="1" applyFill="1"/>
    <xf numFmtId="0" fontId="5" fillId="4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1" fillId="0" borderId="4" xfId="0" applyFont="1" applyBorder="1"/>
    <xf numFmtId="17" fontId="1" fillId="0" borderId="4" xfId="0" applyNumberFormat="1" applyFont="1" applyBorder="1"/>
    <xf numFmtId="43" fontId="0" fillId="0" borderId="0" xfId="0" applyNumberFormat="1"/>
    <xf numFmtId="10" fontId="0" fillId="0" borderId="0" xfId="0" applyNumberFormat="1"/>
    <xf numFmtId="43" fontId="1" fillId="0" borderId="0" xfId="0" applyNumberFormat="1" applyFont="1"/>
    <xf numFmtId="0" fontId="1" fillId="0" borderId="0" xfId="0" applyFont="1" applyBorder="1"/>
    <xf numFmtId="17" fontId="1" fillId="0" borderId="0" xfId="0" applyNumberFormat="1" applyFont="1" applyBorder="1"/>
    <xf numFmtId="10" fontId="1" fillId="0" borderId="0" xfId="0" applyNumberFormat="1" applyFont="1" applyBorder="1"/>
    <xf numFmtId="10" fontId="1" fillId="0" borderId="0" xfId="4" applyNumberFormat="1" applyFont="1"/>
    <xf numFmtId="175" fontId="0" fillId="0" borderId="0" xfId="0" applyNumberFormat="1"/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BF6F-DDFE-4815-AD8D-CA0C757DFF27}">
  <sheetPr>
    <tabColor rgb="FF002060"/>
    <pageSetUpPr autoPageBreaks="0"/>
  </sheetPr>
  <dimension ref="A2:O114"/>
  <sheetViews>
    <sheetView showGridLines="0" workbookViewId="0">
      <pane ySplit="3" topLeftCell="A4" activePane="bottomLeft" state="frozen"/>
      <selection pane="bottomLeft" activeCell="C124" sqref="C124"/>
    </sheetView>
  </sheetViews>
  <sheetFormatPr defaultRowHeight="14.5" x14ac:dyDescent="0.35"/>
  <cols>
    <col min="1" max="1" width="1.81640625" customWidth="1"/>
    <col min="2" max="2" width="28" customWidth="1"/>
    <col min="3" max="12" width="10.54296875" bestFit="1" customWidth="1"/>
    <col min="13" max="13" width="9.36328125" bestFit="1" customWidth="1"/>
    <col min="14" max="14" width="9.26953125" bestFit="1" customWidth="1"/>
  </cols>
  <sheetData>
    <row r="2" spans="1:15" x14ac:dyDescent="0.35">
      <c r="B2" s="57" t="str">
        <f>"Historical Statement - " &amp; 'Data Sheet'!B1</f>
        <v>Historical Statement - HINDUSTAN UNILEVER LTD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5" x14ac:dyDescent="0.35">
      <c r="B3" s="10" t="s">
        <v>56</v>
      </c>
      <c r="C3" s="11">
        <f>IFERROR('Data Sheet'!B16,0)</f>
        <v>42825</v>
      </c>
      <c r="D3" s="11">
        <f>IFERROR('Data Sheet'!C16,0)</f>
        <v>43190</v>
      </c>
      <c r="E3" s="11">
        <f>IFERROR('Data Sheet'!D16,0)</f>
        <v>43555</v>
      </c>
      <c r="F3" s="11">
        <f>IFERROR('Data Sheet'!E16,0)</f>
        <v>43921</v>
      </c>
      <c r="G3" s="11">
        <f>IFERROR('Data Sheet'!F16,0)</f>
        <v>44286</v>
      </c>
      <c r="H3" s="11">
        <f>IFERROR('Data Sheet'!G16,0)</f>
        <v>44651</v>
      </c>
      <c r="I3" s="11">
        <f>IFERROR('Data Sheet'!H16,0)</f>
        <v>45016</v>
      </c>
      <c r="J3" s="11">
        <f>IFERROR('Data Sheet'!I16,0)</f>
        <v>45382</v>
      </c>
      <c r="K3" s="11">
        <f>IFERROR('Data Sheet'!J16,0)</f>
        <v>45747</v>
      </c>
      <c r="L3" s="11">
        <f>IFERROR('Data Sheet'!K16,0)</f>
        <v>46112</v>
      </c>
      <c r="M3" s="12" t="s">
        <v>57</v>
      </c>
    </row>
    <row r="4" spans="1:15" s="18" customFormat="1" x14ac:dyDescent="0.35">
      <c r="B4" s="19"/>
      <c r="C4" s="20"/>
      <c r="D4" s="20"/>
      <c r="E4" s="20"/>
      <c r="F4" s="20"/>
      <c r="G4" s="20"/>
      <c r="H4" s="20"/>
      <c r="I4" s="20"/>
      <c r="J4" s="20"/>
      <c r="K4" s="20"/>
      <c r="L4" s="20"/>
      <c r="M4" s="21"/>
    </row>
    <row r="5" spans="1:15" x14ac:dyDescent="0.35">
      <c r="A5" t="s">
        <v>58</v>
      </c>
      <c r="B5" s="16" t="s">
        <v>59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5" x14ac:dyDescent="0.35">
      <c r="B6" t="s">
        <v>1</v>
      </c>
      <c r="C6" s="22">
        <f>IFERROR('Data Sheet'!B17,0)</f>
        <v>33162</v>
      </c>
      <c r="D6" s="22">
        <f>IFERROR('Data Sheet'!C17,0)</f>
        <v>35545</v>
      </c>
      <c r="E6" s="22">
        <f>IFERROR('Data Sheet'!D17,0)</f>
        <v>39310</v>
      </c>
      <c r="F6" s="22">
        <f>IFERROR('Data Sheet'!E17,0)</f>
        <v>39783</v>
      </c>
      <c r="G6" s="22">
        <f>IFERROR('Data Sheet'!F17,0)</f>
        <v>47028</v>
      </c>
      <c r="H6" s="22">
        <f>IFERROR('Data Sheet'!G17,0)</f>
        <v>52446</v>
      </c>
      <c r="I6" s="22">
        <f>IFERROR('Data Sheet'!H17,0)</f>
        <v>60580</v>
      </c>
      <c r="J6" s="22">
        <f>IFERROR('Data Sheet'!I17,0)</f>
        <v>61896</v>
      </c>
      <c r="K6" s="22">
        <f>IFERROR('Data Sheet'!J17,0)</f>
        <v>61328</v>
      </c>
      <c r="L6" s="22">
        <f>IFERROR('Data Sheet'!K17,0)</f>
        <v>64468</v>
      </c>
      <c r="M6" s="22">
        <f>IFERROR(SUM('Data Sheet'!H42:K42),0)</f>
        <v>65225</v>
      </c>
    </row>
    <row r="7" spans="1:15" x14ac:dyDescent="0.35">
      <c r="B7" s="14" t="s">
        <v>60</v>
      </c>
      <c r="C7" s="23" t="s">
        <v>61</v>
      </c>
      <c r="D7" s="15">
        <f>IFERROR(D6/C6-1,0)</f>
        <v>7.1859357095470644E-2</v>
      </c>
      <c r="E7" s="15">
        <f t="shared" ref="E7:M7" si="0">IFERROR(E6/D6-1,0)</f>
        <v>0.1059220706147137</v>
      </c>
      <c r="F7" s="15">
        <f t="shared" si="0"/>
        <v>1.2032561689137689E-2</v>
      </c>
      <c r="G7" s="15">
        <f t="shared" si="0"/>
        <v>0.18211296282331646</v>
      </c>
      <c r="H7" s="15">
        <f t="shared" si="0"/>
        <v>0.11520796121459553</v>
      </c>
      <c r="I7" s="15">
        <f t="shared" si="0"/>
        <v>0.15509285741524614</v>
      </c>
      <c r="J7" s="15">
        <f t="shared" si="0"/>
        <v>2.1723341036645749E-2</v>
      </c>
      <c r="K7" s="15">
        <f t="shared" si="0"/>
        <v>-9.1766834690448773E-3</v>
      </c>
      <c r="L7" s="15">
        <f t="shared" si="0"/>
        <v>5.1200104356900589E-2</v>
      </c>
      <c r="M7" s="15">
        <f t="shared" si="0"/>
        <v>1.1742259725755488E-2</v>
      </c>
    </row>
    <row r="9" spans="1:15" x14ac:dyDescent="0.35">
      <c r="B9" t="s">
        <v>169</v>
      </c>
      <c r="C9" s="22">
        <f>IFERROR(SUM('Data Sheet'!B18:B21),0)</f>
        <v>16644</v>
      </c>
      <c r="D9" s="22">
        <f>IFERROR(SUM('Data Sheet'!C18:C21),0)</f>
        <v>17598</v>
      </c>
      <c r="E9" s="22">
        <f>IFERROR(SUM('Data Sheet'!D18:D21),0)</f>
        <v>19182</v>
      </c>
      <c r="F9" s="22">
        <f>IFERROR(SUM('Data Sheet'!E18:E21),0)</f>
        <v>19010</v>
      </c>
      <c r="G9" s="22">
        <f>IFERROR(SUM('Data Sheet'!F18:F21),0)</f>
        <v>23753</v>
      </c>
      <c r="H9" s="22">
        <f>IFERROR(SUM('Data Sheet'!G18:G21),0)</f>
        <v>26565</v>
      </c>
      <c r="I9" s="22">
        <f>IFERROR(SUM('Data Sheet'!H18:H21),0)</f>
        <v>32677</v>
      </c>
      <c r="J9" s="22">
        <f>IFERROR(SUM('Data Sheet'!I18:I21),0)</f>
        <v>30664</v>
      </c>
      <c r="K9" s="22">
        <f>IFERROR(SUM('Data Sheet'!J18:J21),0)</f>
        <v>30817</v>
      </c>
      <c r="L9" s="22">
        <f>IFERROR(SUM('Data Sheet'!K18:K21),0)</f>
        <v>33317</v>
      </c>
      <c r="M9" s="22">
        <f>IFERROR(SUM('Data Sheet'!L18:L21),0)</f>
        <v>0</v>
      </c>
    </row>
    <row r="10" spans="1:15" x14ac:dyDescent="0.35">
      <c r="B10" s="14" t="s">
        <v>170</v>
      </c>
      <c r="C10" s="15">
        <f>IFERROR(C9/C6,0)</f>
        <v>0.50189976479102583</v>
      </c>
      <c r="D10" s="15">
        <f t="shared" ref="D10:M10" si="1">IFERROR(D9/D6,0)</f>
        <v>0.49509073006048671</v>
      </c>
      <c r="E10" s="15">
        <f t="shared" si="1"/>
        <v>0.48796743831086237</v>
      </c>
      <c r="F10" s="15">
        <f t="shared" si="1"/>
        <v>0.47784229444737703</v>
      </c>
      <c r="G10" s="15">
        <f t="shared" si="1"/>
        <v>0.50508207876158884</v>
      </c>
      <c r="H10" s="15">
        <f t="shared" si="1"/>
        <v>0.50652099302139342</v>
      </c>
      <c r="I10" s="15">
        <f t="shared" si="1"/>
        <v>0.53940244305051177</v>
      </c>
      <c r="J10" s="15">
        <f t="shared" si="1"/>
        <v>0.49541165826547756</v>
      </c>
      <c r="K10" s="15">
        <f t="shared" si="1"/>
        <v>0.50249478215497001</v>
      </c>
      <c r="L10" s="15">
        <f t="shared" si="1"/>
        <v>0.5167990320779301</v>
      </c>
      <c r="M10" s="15">
        <f t="shared" si="1"/>
        <v>0</v>
      </c>
    </row>
    <row r="12" spans="1:15" x14ac:dyDescent="0.35">
      <c r="B12" s="28" t="s">
        <v>62</v>
      </c>
      <c r="C12" s="29">
        <f>IFERROR(C6-C9,0)</f>
        <v>16518</v>
      </c>
      <c r="D12" s="29">
        <f t="shared" ref="D12:M12" si="2">IFERROR(D6-D9,0)</f>
        <v>17947</v>
      </c>
      <c r="E12" s="29">
        <f t="shared" si="2"/>
        <v>20128</v>
      </c>
      <c r="F12" s="29">
        <f t="shared" si="2"/>
        <v>20773</v>
      </c>
      <c r="G12" s="29">
        <f t="shared" si="2"/>
        <v>23275</v>
      </c>
      <c r="H12" s="29">
        <f t="shared" si="2"/>
        <v>25881</v>
      </c>
      <c r="I12" s="29">
        <f t="shared" si="2"/>
        <v>27903</v>
      </c>
      <c r="J12" s="29">
        <f t="shared" si="2"/>
        <v>31232</v>
      </c>
      <c r="K12" s="29">
        <f t="shared" si="2"/>
        <v>30511</v>
      </c>
      <c r="L12" s="29">
        <f t="shared" si="2"/>
        <v>31151</v>
      </c>
      <c r="M12" s="29">
        <f t="shared" si="2"/>
        <v>65225</v>
      </c>
    </row>
    <row r="13" spans="1:15" x14ac:dyDescent="0.35">
      <c r="B13" s="14" t="s">
        <v>70</v>
      </c>
      <c r="C13" s="15">
        <f>IFERROR(C12/C6,0)</f>
        <v>0.49810023520897412</v>
      </c>
      <c r="D13" s="15">
        <f t="shared" ref="D13:M13" si="3">IFERROR(D12/D6,0)</f>
        <v>0.50490926993951324</v>
      </c>
      <c r="E13" s="15">
        <f t="shared" si="3"/>
        <v>0.51203256168913758</v>
      </c>
      <c r="F13" s="15">
        <f t="shared" si="3"/>
        <v>0.52215770555262297</v>
      </c>
      <c r="G13" s="15">
        <f t="shared" si="3"/>
        <v>0.49491792123841116</v>
      </c>
      <c r="H13" s="15">
        <f t="shared" si="3"/>
        <v>0.49347900697860658</v>
      </c>
      <c r="I13" s="15">
        <f t="shared" si="3"/>
        <v>0.46059755694948828</v>
      </c>
      <c r="J13" s="15">
        <f t="shared" si="3"/>
        <v>0.50458834173452238</v>
      </c>
      <c r="K13" s="15">
        <f t="shared" si="3"/>
        <v>0.49750521784502999</v>
      </c>
      <c r="L13" s="15">
        <f t="shared" si="3"/>
        <v>0.48320096792206985</v>
      </c>
      <c r="M13" s="15">
        <f t="shared" si="3"/>
        <v>1</v>
      </c>
    </row>
    <row r="15" spans="1:15" x14ac:dyDescent="0.35">
      <c r="B15" t="s">
        <v>171</v>
      </c>
      <c r="C15" s="22">
        <f>IFERROR('Data Sheet'!B22,0)</f>
        <v>1743</v>
      </c>
      <c r="D15" s="22">
        <f>IFERROR('Data Sheet'!C22,0)</f>
        <v>1860</v>
      </c>
      <c r="E15" s="22">
        <f>IFERROR('Data Sheet'!D22,0)</f>
        <v>1875</v>
      </c>
      <c r="F15" s="22">
        <f>IFERROR('Data Sheet'!E22,0)</f>
        <v>1820</v>
      </c>
      <c r="G15" s="22">
        <f>IFERROR('Data Sheet'!F22,0)</f>
        <v>2358</v>
      </c>
      <c r="H15" s="22">
        <f>IFERROR('Data Sheet'!G22,0)</f>
        <v>2545</v>
      </c>
      <c r="I15" s="22">
        <f>IFERROR('Data Sheet'!H22,0)</f>
        <v>2854</v>
      </c>
      <c r="J15" s="22">
        <f>IFERROR('Data Sheet'!I22,0)</f>
        <v>3009</v>
      </c>
      <c r="K15" s="22">
        <f>IFERROR('Data Sheet'!J22,0)</f>
        <v>2952</v>
      </c>
      <c r="L15" s="22">
        <f>IFERROR('Data Sheet'!K22,0)</f>
        <v>3175</v>
      </c>
      <c r="M15" s="22">
        <f>IFERROR('Data Sheet'!L22,0)</f>
        <v>0</v>
      </c>
      <c r="N15" s="22"/>
      <c r="O15" s="22"/>
    </row>
    <row r="16" spans="1:15" x14ac:dyDescent="0.35">
      <c r="B16" s="14" t="s">
        <v>172</v>
      </c>
      <c r="C16" s="15">
        <f>IFERROR(C15/C6,0)</f>
        <v>5.2560159218382488E-2</v>
      </c>
      <c r="D16" s="15">
        <f t="shared" ref="D16:M16" si="4">IFERROR(D15/D6,0)</f>
        <v>5.2328034885356589E-2</v>
      </c>
      <c r="E16" s="15">
        <f t="shared" si="4"/>
        <v>4.7697786822691428E-2</v>
      </c>
      <c r="F16" s="15">
        <f t="shared" si="4"/>
        <v>4.574818389764472E-2</v>
      </c>
      <c r="G16" s="15">
        <f t="shared" si="4"/>
        <v>5.0140341923960191E-2</v>
      </c>
      <c r="H16" s="15">
        <f t="shared" si="4"/>
        <v>4.8526103039316627E-2</v>
      </c>
      <c r="I16" s="15">
        <f t="shared" si="4"/>
        <v>4.7111257840871577E-2</v>
      </c>
      <c r="J16" s="15">
        <f t="shared" si="4"/>
        <v>4.8613803799922452E-2</v>
      </c>
      <c r="K16" s="15">
        <f t="shared" si="4"/>
        <v>4.8134620401774068E-2</v>
      </c>
      <c r="L16" s="15">
        <f t="shared" si="4"/>
        <v>4.9249239932990012E-2</v>
      </c>
      <c r="M16" s="15">
        <f t="shared" si="4"/>
        <v>0</v>
      </c>
    </row>
    <row r="18" spans="2:14" x14ac:dyDescent="0.35">
      <c r="B18" t="s">
        <v>63</v>
      </c>
      <c r="C18" s="22">
        <f>IFERROR(SUM('Data Sheet'!B23:B24),0)</f>
        <v>8159</v>
      </c>
      <c r="D18" s="22">
        <f>IFERROR(SUM('Data Sheet'!C23:C24),0)</f>
        <v>8732</v>
      </c>
      <c r="E18" s="22">
        <f>IFERROR(SUM('Data Sheet'!D23:D24),0)</f>
        <v>9349</v>
      </c>
      <c r="F18" s="22">
        <f>IFERROR(SUM('Data Sheet'!E23:E24),0)</f>
        <v>9308</v>
      </c>
      <c r="G18" s="22">
        <f>IFERROR(SUM('Data Sheet'!F23:F24),0)</f>
        <v>10101</v>
      </c>
      <c r="H18" s="22">
        <f>IFERROR(SUM('Data Sheet'!G23:G24),0)</f>
        <v>10523</v>
      </c>
      <c r="I18" s="22">
        <f>IFERROR(SUM('Data Sheet'!H23:H24),0)</f>
        <v>11052</v>
      </c>
      <c r="J18" s="22">
        <f>IFERROR(SUM('Data Sheet'!I23:I24),0)</f>
        <v>13586</v>
      </c>
      <c r="K18" s="22">
        <f>IFERROR(SUM('Data Sheet'!J23:J24),0)</f>
        <v>13111</v>
      </c>
      <c r="L18" s="22">
        <f>IFERROR(SUM('Data Sheet'!K23:K24),0)</f>
        <v>13795</v>
      </c>
      <c r="M18" s="22">
        <f>IFERROR(SUM('Data Sheet'!H43:K43),0)</f>
        <v>50108</v>
      </c>
    </row>
    <row r="19" spans="2:14" x14ac:dyDescent="0.35">
      <c r="B19" s="14" t="s">
        <v>64</v>
      </c>
      <c r="C19" s="15">
        <f>IFERROR(C18/C6,0)</f>
        <v>0.24603461793619202</v>
      </c>
      <c r="D19" s="15">
        <f t="shared" ref="D19:M19" si="5">IFERROR(D18/D6,0)</f>
        <v>0.24566043044028696</v>
      </c>
      <c r="E19" s="15">
        <f t="shared" si="5"/>
        <v>0.23782752480284916</v>
      </c>
      <c r="F19" s="15">
        <f t="shared" si="5"/>
        <v>0.23396928336224015</v>
      </c>
      <c r="G19" s="15">
        <f t="shared" si="5"/>
        <v>0.21478693544271499</v>
      </c>
      <c r="H19" s="15">
        <f t="shared" si="5"/>
        <v>0.20064447240971667</v>
      </c>
      <c r="I19" s="15">
        <f t="shared" si="5"/>
        <v>0.18243644767249917</v>
      </c>
      <c r="J19" s="15">
        <f t="shared" si="5"/>
        <v>0.21949722114514669</v>
      </c>
      <c r="K19" s="15">
        <f t="shared" si="5"/>
        <v>0.21378489433863815</v>
      </c>
      <c r="L19" s="15">
        <f t="shared" si="5"/>
        <v>0.21398213066947944</v>
      </c>
      <c r="M19" s="15">
        <f t="shared" si="5"/>
        <v>0.76823303947872745</v>
      </c>
    </row>
    <row r="20" spans="2:14" x14ac:dyDescent="0.35">
      <c r="C20" s="13"/>
    </row>
    <row r="21" spans="2:14" x14ac:dyDescent="0.35">
      <c r="B21" s="28" t="s">
        <v>65</v>
      </c>
      <c r="C21" s="29">
        <f>IFERROR(C12-SUM(C15,C18),0)</f>
        <v>6616</v>
      </c>
      <c r="D21" s="29">
        <f t="shared" ref="D21:L21" si="6">IFERROR(D12-SUM(D15,D18),0)</f>
        <v>7355</v>
      </c>
      <c r="E21" s="29">
        <f t="shared" si="6"/>
        <v>8904</v>
      </c>
      <c r="F21" s="29">
        <f t="shared" si="6"/>
        <v>9645</v>
      </c>
      <c r="G21" s="29">
        <f t="shared" si="6"/>
        <v>10816</v>
      </c>
      <c r="H21" s="29">
        <f t="shared" si="6"/>
        <v>12813</v>
      </c>
      <c r="I21" s="29">
        <f t="shared" si="6"/>
        <v>13997</v>
      </c>
      <c r="J21" s="29">
        <f t="shared" si="6"/>
        <v>14637</v>
      </c>
      <c r="K21" s="29">
        <f t="shared" si="6"/>
        <v>14448</v>
      </c>
      <c r="L21" s="29">
        <f t="shared" si="6"/>
        <v>14181</v>
      </c>
      <c r="M21" s="29">
        <f>IFERROR(M12-SUM(M15,M18),0)</f>
        <v>15117</v>
      </c>
      <c r="N21" s="70"/>
    </row>
    <row r="22" spans="2:14" x14ac:dyDescent="0.35">
      <c r="B22" s="14" t="s">
        <v>66</v>
      </c>
      <c r="C22" s="15">
        <f>IFERROR(C21/C6,0)</f>
        <v>0.19950545805439962</v>
      </c>
      <c r="D22" s="15">
        <f t="shared" ref="D22:M22" si="7">IFERROR(D21/D6,0)</f>
        <v>0.20692080461386975</v>
      </c>
      <c r="E22" s="15">
        <f t="shared" si="7"/>
        <v>0.22650725006359704</v>
      </c>
      <c r="F22" s="15">
        <f t="shared" si="7"/>
        <v>0.24244023829273811</v>
      </c>
      <c r="G22" s="15">
        <f t="shared" si="7"/>
        <v>0.22999064387173598</v>
      </c>
      <c r="H22" s="15">
        <f t="shared" si="7"/>
        <v>0.24430843152957327</v>
      </c>
      <c r="I22" s="15">
        <f t="shared" si="7"/>
        <v>0.23104985143611753</v>
      </c>
      <c r="J22" s="15">
        <f t="shared" si="7"/>
        <v>0.23647731678945327</v>
      </c>
      <c r="K22" s="15">
        <f t="shared" si="7"/>
        <v>0.23558570310461779</v>
      </c>
      <c r="L22" s="15">
        <f t="shared" si="7"/>
        <v>0.21996959731960042</v>
      </c>
      <c r="M22" s="15">
        <f t="shared" si="7"/>
        <v>0.23176696052127252</v>
      </c>
    </row>
    <row r="24" spans="2:14" x14ac:dyDescent="0.35">
      <c r="B24" t="s">
        <v>67</v>
      </c>
      <c r="C24" s="22">
        <f>IFERROR(('Data Sheet'!B27),0)</f>
        <v>35</v>
      </c>
      <c r="D24" s="22">
        <f>IFERROR(('Data Sheet'!C27),0)</f>
        <v>26</v>
      </c>
      <c r="E24" s="22">
        <f>IFERROR(('Data Sheet'!D27),0)</f>
        <v>33</v>
      </c>
      <c r="F24" s="22">
        <f>IFERROR(('Data Sheet'!E27),0)</f>
        <v>118</v>
      </c>
      <c r="G24" s="22">
        <f>IFERROR(('Data Sheet'!F27),0)</f>
        <v>117</v>
      </c>
      <c r="H24" s="22">
        <f>IFERROR(('Data Sheet'!G27),0)</f>
        <v>106</v>
      </c>
      <c r="I24" s="22">
        <f>IFERROR(('Data Sheet'!H27),0)</f>
        <v>114</v>
      </c>
      <c r="J24" s="22">
        <f>IFERROR(('Data Sheet'!I27),0)</f>
        <v>334</v>
      </c>
      <c r="K24" s="22">
        <f>IFERROR(('Data Sheet'!J27),0)</f>
        <v>381</v>
      </c>
      <c r="L24" s="22">
        <f>IFERROR(('Data Sheet'!K27),0)</f>
        <v>410</v>
      </c>
      <c r="M24" s="22">
        <f>IFERROR(SUM('Data Sheet'!H46:K46),0)</f>
        <v>415</v>
      </c>
    </row>
    <row r="25" spans="2:14" x14ac:dyDescent="0.35">
      <c r="B25" s="14" t="s">
        <v>68</v>
      </c>
      <c r="C25" s="15">
        <f>C24/C6</f>
        <v>1.0554248839032628E-3</v>
      </c>
      <c r="D25" s="15">
        <f t="shared" ref="D25:M25" si="8">D24/D6</f>
        <v>7.3146715431143621E-4</v>
      </c>
      <c r="E25" s="15">
        <f t="shared" si="8"/>
        <v>8.3948104807936915E-4</v>
      </c>
      <c r="F25" s="15">
        <f t="shared" si="8"/>
        <v>2.9660910439132291E-3</v>
      </c>
      <c r="G25" s="15">
        <f t="shared" si="8"/>
        <v>2.4878795611125285E-3</v>
      </c>
      <c r="H25" s="15">
        <f t="shared" si="8"/>
        <v>2.0211264920108303E-3</v>
      </c>
      <c r="I25" s="15">
        <f t="shared" si="8"/>
        <v>1.881809177946517E-3</v>
      </c>
      <c r="J25" s="15">
        <f t="shared" si="8"/>
        <v>5.3961483779242604E-3</v>
      </c>
      <c r="K25" s="15">
        <f t="shared" si="8"/>
        <v>6.2124967388468566E-3</v>
      </c>
      <c r="L25" s="15">
        <f t="shared" si="8"/>
        <v>6.3597443692994977E-3</v>
      </c>
      <c r="M25" s="15">
        <f t="shared" si="8"/>
        <v>6.362591031046378E-3</v>
      </c>
    </row>
    <row r="27" spans="2:14" x14ac:dyDescent="0.35">
      <c r="B27" s="4" t="s">
        <v>5</v>
      </c>
      <c r="C27" s="22">
        <f>IFERROR(('Data Sheet'!B26),0)</f>
        <v>432</v>
      </c>
      <c r="D27" s="22">
        <f>IFERROR(('Data Sheet'!C26),0)</f>
        <v>520</v>
      </c>
      <c r="E27" s="22">
        <f>IFERROR(('Data Sheet'!D26),0)</f>
        <v>565</v>
      </c>
      <c r="F27" s="22">
        <f>IFERROR(('Data Sheet'!E26),0)</f>
        <v>1002</v>
      </c>
      <c r="G27" s="22">
        <f>IFERROR(('Data Sheet'!F26),0)</f>
        <v>1074</v>
      </c>
      <c r="H27" s="22">
        <f>IFERROR(('Data Sheet'!G26),0)</f>
        <v>1091</v>
      </c>
      <c r="I27" s="22">
        <f>IFERROR(('Data Sheet'!H26),0)</f>
        <v>1137</v>
      </c>
      <c r="J27" s="22">
        <f>IFERROR(('Data Sheet'!I26),0)</f>
        <v>1216</v>
      </c>
      <c r="K27" s="22">
        <f>IFERROR(('Data Sheet'!J26),0)</f>
        <v>1253</v>
      </c>
      <c r="L27" s="22">
        <f>IFERROR(('Data Sheet'!K26),0)</f>
        <v>1333</v>
      </c>
      <c r="M27" s="22">
        <f>IFERROR(SUM('Data Sheet'!H45:K45),0)</f>
        <v>1368</v>
      </c>
    </row>
    <row r="28" spans="2:14" x14ac:dyDescent="0.35">
      <c r="B28" s="14" t="s">
        <v>69</v>
      </c>
      <c r="C28" s="15">
        <f>C27/C6</f>
        <v>1.3026958567034558E-2</v>
      </c>
      <c r="D28" s="15">
        <f t="shared" ref="D28:M28" si="9">D27/D6</f>
        <v>1.4629343086228723E-2</v>
      </c>
      <c r="E28" s="15">
        <f t="shared" si="9"/>
        <v>1.437293309590435E-2</v>
      </c>
      <c r="F28" s="15">
        <f t="shared" si="9"/>
        <v>2.5186637508483524E-2</v>
      </c>
      <c r="G28" s="15">
        <f t="shared" si="9"/>
        <v>2.2837458535340648E-2</v>
      </c>
      <c r="H28" s="15">
        <f t="shared" si="9"/>
        <v>2.0802349082866187E-2</v>
      </c>
      <c r="I28" s="15">
        <f t="shared" si="9"/>
        <v>1.8768570485308684E-2</v>
      </c>
      <c r="J28" s="15">
        <f t="shared" si="9"/>
        <v>1.9645857567532635E-2</v>
      </c>
      <c r="K28" s="15">
        <f t="shared" si="9"/>
        <v>2.0431124445603965E-2</v>
      </c>
      <c r="L28" s="15">
        <f t="shared" si="9"/>
        <v>2.0676924986039586E-2</v>
      </c>
      <c r="M28" s="15">
        <f t="shared" si="9"/>
        <v>2.097355308547336E-2</v>
      </c>
      <c r="N28" s="14"/>
    </row>
    <row r="29" spans="2:14" x14ac:dyDescent="0.3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4"/>
    </row>
    <row r="30" spans="2:14" x14ac:dyDescent="0.35">
      <c r="B30" s="4" t="s">
        <v>4</v>
      </c>
      <c r="C30" s="22">
        <f>IFERROR('Data Sheet'!B25,0)</f>
        <v>606</v>
      </c>
      <c r="D30" s="22">
        <f>IFERROR('Data Sheet'!C25,0)</f>
        <v>353</v>
      </c>
      <c r="E30" s="22">
        <f>IFERROR('Data Sheet'!D25,0)</f>
        <v>322</v>
      </c>
      <c r="F30" s="22">
        <f>IFERROR('Data Sheet'!E25,0)</f>
        <v>424</v>
      </c>
      <c r="G30" s="22">
        <f>IFERROR('Data Sheet'!F25,0)</f>
        <v>170</v>
      </c>
      <c r="H30" s="22">
        <f>IFERROR('Data Sheet'!G25,0)</f>
        <v>219</v>
      </c>
      <c r="I30" s="22">
        <f>IFERROR('Data Sheet'!H25,0)</f>
        <v>448</v>
      </c>
      <c r="J30" s="22">
        <f>IFERROR('Data Sheet'!I25,0)</f>
        <v>817</v>
      </c>
      <c r="K30" s="22">
        <f>IFERROR('Data Sheet'!J25,0)</f>
        <v>1355</v>
      </c>
      <c r="L30" s="22">
        <f>IFERROR('Data Sheet'!K25,0)</f>
        <v>4923</v>
      </c>
      <c r="M30" s="22">
        <f>IFERROR(SUM('Data Sheet'!H44:K44),0)</f>
        <v>4894</v>
      </c>
      <c r="N30" s="14"/>
    </row>
    <row r="31" spans="2:14" x14ac:dyDescent="0.35">
      <c r="B31" s="14" t="s">
        <v>173</v>
      </c>
      <c r="C31" s="15">
        <f>IFERROR(C30/C6,0)</f>
        <v>1.8273927989867923E-2</v>
      </c>
      <c r="D31" s="15">
        <f t="shared" ref="D31:M31" si="10">IFERROR(D30/D6,0)</f>
        <v>9.9310732873821913E-3</v>
      </c>
      <c r="E31" s="15">
        <f t="shared" si="10"/>
        <v>8.1912999236835402E-3</v>
      </c>
      <c r="F31" s="15">
        <f t="shared" si="10"/>
        <v>1.0657818666264484E-2</v>
      </c>
      <c r="G31" s="15">
        <f t="shared" si="10"/>
        <v>3.6148677383686313E-3</v>
      </c>
      <c r="H31" s="15">
        <f t="shared" si="10"/>
        <v>4.1757236014186017E-3</v>
      </c>
      <c r="I31" s="15">
        <f t="shared" si="10"/>
        <v>7.3951799273687686E-3</v>
      </c>
      <c r="J31" s="15">
        <f t="shared" si="10"/>
        <v>1.3199560553185989E-2</v>
      </c>
      <c r="K31" s="15">
        <f t="shared" si="10"/>
        <v>2.2094312548917298E-2</v>
      </c>
      <c r="L31" s="15">
        <f t="shared" si="10"/>
        <v>7.6363467146491282E-2</v>
      </c>
      <c r="M31" s="15">
        <f t="shared" si="10"/>
        <v>7.5032579532387886E-2</v>
      </c>
      <c r="N31" s="14"/>
    </row>
    <row r="33" spans="2:13" x14ac:dyDescent="0.35">
      <c r="B33" s="28" t="s">
        <v>71</v>
      </c>
      <c r="C33" s="29">
        <f>IFERROR(C21-C24-C27+C30,0)</f>
        <v>6755</v>
      </c>
      <c r="D33" s="29">
        <f t="shared" ref="D33:M33" si="11">IFERROR(D21-D24-D27+D30,0)</f>
        <v>7162</v>
      </c>
      <c r="E33" s="29">
        <f t="shared" si="11"/>
        <v>8628</v>
      </c>
      <c r="F33" s="29">
        <f t="shared" si="11"/>
        <v>8949</v>
      </c>
      <c r="G33" s="29">
        <f t="shared" si="11"/>
        <v>9795</v>
      </c>
      <c r="H33" s="29">
        <f t="shared" si="11"/>
        <v>11835</v>
      </c>
      <c r="I33" s="29">
        <f t="shared" si="11"/>
        <v>13194</v>
      </c>
      <c r="J33" s="29">
        <f t="shared" si="11"/>
        <v>13904</v>
      </c>
      <c r="K33" s="29">
        <f t="shared" si="11"/>
        <v>14169</v>
      </c>
      <c r="L33" s="29">
        <f t="shared" si="11"/>
        <v>17361</v>
      </c>
      <c r="M33" s="29">
        <f t="shared" si="11"/>
        <v>18228</v>
      </c>
    </row>
    <row r="34" spans="2:13" x14ac:dyDescent="0.35">
      <c r="B34" s="14" t="s">
        <v>72</v>
      </c>
      <c r="C34" s="15">
        <f>IFERROR(C33/C6,0)</f>
        <v>0.20369700259332971</v>
      </c>
      <c r="D34" s="15">
        <f t="shared" ref="D34:M34" si="12">IFERROR(D33/D6,0)</f>
        <v>0.20149106766071179</v>
      </c>
      <c r="E34" s="15">
        <f t="shared" si="12"/>
        <v>0.21948613584329688</v>
      </c>
      <c r="F34" s="15">
        <f t="shared" si="12"/>
        <v>0.22494532840660583</v>
      </c>
      <c r="G34" s="15">
        <f t="shared" si="12"/>
        <v>0.20828017351365144</v>
      </c>
      <c r="H34" s="15">
        <f t="shared" si="12"/>
        <v>0.22566067955611485</v>
      </c>
      <c r="I34" s="15">
        <f t="shared" si="12"/>
        <v>0.2177946517002311</v>
      </c>
      <c r="J34" s="15">
        <f t="shared" si="12"/>
        <v>0.22463487139718238</v>
      </c>
      <c r="K34" s="15">
        <f t="shared" si="12"/>
        <v>0.23103639446908428</v>
      </c>
      <c r="L34" s="15">
        <f t="shared" si="12"/>
        <v>0.2692963951107526</v>
      </c>
      <c r="M34" s="15">
        <f t="shared" si="12"/>
        <v>0.27946339593714065</v>
      </c>
    </row>
    <row r="36" spans="2:13" x14ac:dyDescent="0.35">
      <c r="B36" t="s">
        <v>73</v>
      </c>
      <c r="C36" s="22">
        <f>IFERROR('Data Sheet'!B29,0)</f>
        <v>1977</v>
      </c>
      <c r="D36" s="22">
        <f>IFERROR('Data Sheet'!C29,0)</f>
        <v>2079</v>
      </c>
      <c r="E36" s="22">
        <f>IFERROR('Data Sheet'!D29,0)</f>
        <v>2544</v>
      </c>
      <c r="F36" s="22">
        <f>IFERROR('Data Sheet'!E29,0)</f>
        <v>2409</v>
      </c>
      <c r="G36" s="22">
        <f>IFERROR('Data Sheet'!F29,0)</f>
        <v>2606</v>
      </c>
      <c r="H36" s="22">
        <f>IFERROR('Data Sheet'!G29,0)</f>
        <v>2987</v>
      </c>
      <c r="I36" s="22">
        <f>IFERROR('Data Sheet'!H29,0)</f>
        <v>3201</v>
      </c>
      <c r="J36" s="22">
        <f>IFERROR('Data Sheet'!I29,0)</f>
        <v>3644</v>
      </c>
      <c r="K36" s="22">
        <f>IFERROR('Data Sheet'!J29,0)</f>
        <v>3748</v>
      </c>
      <c r="L36" s="22">
        <f>IFERROR('Data Sheet'!K29,0)</f>
        <v>3160</v>
      </c>
      <c r="M36" s="22">
        <f>IFERROR(SUM('Data Sheet'!H48:K48),0)</f>
        <v>3169</v>
      </c>
    </row>
    <row r="37" spans="2:13" x14ac:dyDescent="0.35">
      <c r="B37" s="14" t="s">
        <v>74</v>
      </c>
      <c r="C37" s="15">
        <f>IFERROR(C36/C33,0)</f>
        <v>0.29267209474463363</v>
      </c>
      <c r="D37" s="15">
        <f t="shared" ref="D37:M37" si="13">IFERROR(D36/D33,0)</f>
        <v>0.29028204412175368</v>
      </c>
      <c r="E37" s="15">
        <f t="shared" si="13"/>
        <v>0.2948539638386648</v>
      </c>
      <c r="F37" s="15">
        <f t="shared" si="13"/>
        <v>0.26919208850150855</v>
      </c>
      <c r="G37" s="15">
        <f t="shared" si="13"/>
        <v>0.26605410923940787</v>
      </c>
      <c r="H37" s="15">
        <f t="shared" si="13"/>
        <v>0.25238698774820451</v>
      </c>
      <c r="I37" s="15">
        <f t="shared" si="13"/>
        <v>0.24261027739881763</v>
      </c>
      <c r="J37" s="15">
        <f t="shared" si="13"/>
        <v>0.26208285385500574</v>
      </c>
      <c r="K37" s="15">
        <f t="shared" si="13"/>
        <v>0.26452113769496788</v>
      </c>
      <c r="L37" s="15">
        <f t="shared" si="13"/>
        <v>0.18201716490985542</v>
      </c>
      <c r="M37" s="15">
        <f t="shared" si="13"/>
        <v>0.17385341233267501</v>
      </c>
    </row>
    <row r="39" spans="2:13" x14ac:dyDescent="0.35">
      <c r="B39" s="28" t="s">
        <v>75</v>
      </c>
      <c r="C39" s="29">
        <f>IFERROR((C33-C36),0)</f>
        <v>4778</v>
      </c>
      <c r="D39" s="29">
        <f t="shared" ref="D39:M39" si="14">IFERROR((D33-D36),0)</f>
        <v>5083</v>
      </c>
      <c r="E39" s="29">
        <f t="shared" si="14"/>
        <v>6084</v>
      </c>
      <c r="F39" s="29">
        <f t="shared" si="14"/>
        <v>6540</v>
      </c>
      <c r="G39" s="29">
        <f t="shared" si="14"/>
        <v>7189</v>
      </c>
      <c r="H39" s="29">
        <f t="shared" si="14"/>
        <v>8848</v>
      </c>
      <c r="I39" s="29">
        <f t="shared" si="14"/>
        <v>9993</v>
      </c>
      <c r="J39" s="29">
        <f t="shared" si="14"/>
        <v>10260</v>
      </c>
      <c r="K39" s="29">
        <f t="shared" si="14"/>
        <v>10421</v>
      </c>
      <c r="L39" s="29">
        <f t="shared" si="14"/>
        <v>14201</v>
      </c>
      <c r="M39" s="29">
        <f t="shared" si="14"/>
        <v>15059</v>
      </c>
    </row>
    <row r="40" spans="2:13" x14ac:dyDescent="0.35">
      <c r="B40" s="14" t="s">
        <v>76</v>
      </c>
      <c r="C40" s="15">
        <f>IFERROR(C39/C6,0)</f>
        <v>0.14408057415113684</v>
      </c>
      <c r="D40" s="15">
        <f t="shared" ref="D40:M40" si="15">IFERROR(D39/D6,0)</f>
        <v>0.14300182866788577</v>
      </c>
      <c r="E40" s="15">
        <f t="shared" si="15"/>
        <v>0.15476977868226915</v>
      </c>
      <c r="F40" s="15">
        <f t="shared" si="15"/>
        <v>0.1643918256541739</v>
      </c>
      <c r="G40" s="15">
        <f t="shared" si="15"/>
        <v>0.1528663774772476</v>
      </c>
      <c r="H40" s="15">
        <f t="shared" si="15"/>
        <v>0.1687068603897342</v>
      </c>
      <c r="I40" s="15">
        <f t="shared" si="15"/>
        <v>0.16495543083525915</v>
      </c>
      <c r="J40" s="15">
        <f t="shared" si="15"/>
        <v>0.16576192322605662</v>
      </c>
      <c r="K40" s="15">
        <f t="shared" si="15"/>
        <v>0.16992238455517872</v>
      </c>
      <c r="L40" s="15">
        <f t="shared" si="15"/>
        <v>0.22027982875224919</v>
      </c>
      <c r="M40" s="15">
        <f t="shared" si="15"/>
        <v>0.23087773093139133</v>
      </c>
    </row>
    <row r="42" spans="2:13" x14ac:dyDescent="0.35">
      <c r="B42" t="s">
        <v>77</v>
      </c>
      <c r="C42" s="22">
        <f>IFERROR('Data Sheet'!B93,0)</f>
        <v>216.43</v>
      </c>
      <c r="D42" s="22">
        <f>IFERROR('Data Sheet'!C93,0)</f>
        <v>216.45</v>
      </c>
      <c r="E42" s="22">
        <f>IFERROR('Data Sheet'!D93,0)</f>
        <v>216.47</v>
      </c>
      <c r="F42" s="22">
        <f>IFERROR('Data Sheet'!E93,0)</f>
        <v>216.48</v>
      </c>
      <c r="G42" s="22">
        <f>IFERROR('Data Sheet'!F93,0)</f>
        <v>234.96</v>
      </c>
      <c r="H42" s="22">
        <f>IFERROR('Data Sheet'!G93,0)</f>
        <v>234.96</v>
      </c>
      <c r="I42" s="22">
        <f>IFERROR('Data Sheet'!H93,0)</f>
        <v>234.96</v>
      </c>
      <c r="J42" s="22">
        <f>IFERROR('Data Sheet'!I93,0)</f>
        <v>234.96</v>
      </c>
      <c r="K42" s="22">
        <f>IFERROR('Data Sheet'!J93,0)</f>
        <v>234.96</v>
      </c>
      <c r="L42" s="22">
        <f>IFERROR('Data Sheet'!K93,0)</f>
        <v>234.96</v>
      </c>
      <c r="M42" s="23">
        <f>L42</f>
        <v>234.96</v>
      </c>
    </row>
    <row r="43" spans="2:13" x14ac:dyDescent="0.35"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2:13" x14ac:dyDescent="0.35">
      <c r="B44" t="s">
        <v>78</v>
      </c>
      <c r="C44" s="22">
        <f>IFERROR(C39/C42,0)</f>
        <v>22.076421937808991</v>
      </c>
      <c r="D44" s="22">
        <f t="shared" ref="D44:M44" si="16">IFERROR(D39/D42,0)</f>
        <v>23.483483483483486</v>
      </c>
      <c r="E44" s="22">
        <f t="shared" si="16"/>
        <v>28.105511156280315</v>
      </c>
      <c r="F44" s="22">
        <f t="shared" si="16"/>
        <v>30.210643015521065</v>
      </c>
      <c r="G44" s="22">
        <f t="shared" si="16"/>
        <v>30.596697310180456</v>
      </c>
      <c r="H44" s="22">
        <f t="shared" si="16"/>
        <v>37.657473612529792</v>
      </c>
      <c r="I44" s="22">
        <f t="shared" si="16"/>
        <v>42.530643513789578</v>
      </c>
      <c r="J44" s="22">
        <f t="shared" si="16"/>
        <v>43.667007150153218</v>
      </c>
      <c r="K44" s="22">
        <f t="shared" si="16"/>
        <v>44.352230166836904</v>
      </c>
      <c r="L44" s="22">
        <f t="shared" si="16"/>
        <v>60.440074906367037</v>
      </c>
      <c r="M44" s="23">
        <f t="shared" si="16"/>
        <v>64.091760299625463</v>
      </c>
    </row>
    <row r="45" spans="2:13" x14ac:dyDescent="0.35">
      <c r="B45" s="14" t="s">
        <v>80</v>
      </c>
      <c r="C45" s="15"/>
      <c r="D45" s="15">
        <f>IFERROR((D44/C44-1),0)</f>
        <v>6.3735941885795455E-2</v>
      </c>
      <c r="E45" s="15">
        <f t="shared" ref="E45:M45" si="17">IFERROR((E44/D44-1),0)</f>
        <v>0.19682035997971159</v>
      </c>
      <c r="F45" s="15">
        <f t="shared" si="17"/>
        <v>7.4901034446062553E-2</v>
      </c>
      <c r="G45" s="15">
        <f t="shared" si="17"/>
        <v>1.2778751331477878E-2</v>
      </c>
      <c r="H45" s="15">
        <f t="shared" si="17"/>
        <v>0.23076923076923084</v>
      </c>
      <c r="I45" s="15">
        <f t="shared" si="17"/>
        <v>0.12940777576853524</v>
      </c>
      <c r="J45" s="15">
        <f t="shared" si="17"/>
        <v>2.6718703092164509E-2</v>
      </c>
      <c r="K45" s="15">
        <f t="shared" si="17"/>
        <v>1.5692007797270868E-2</v>
      </c>
      <c r="L45" s="15">
        <f t="shared" si="17"/>
        <v>0.3627291046924479</v>
      </c>
      <c r="M45" s="15">
        <f t="shared" si="17"/>
        <v>6.0418280402788405E-2</v>
      </c>
    </row>
    <row r="46" spans="2:13" x14ac:dyDescent="0.35"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3"/>
    </row>
    <row r="47" spans="2:13" x14ac:dyDescent="0.35">
      <c r="B47" t="s">
        <v>79</v>
      </c>
      <c r="C47" s="22">
        <f>IFERROR(('Data Sheet'!B31/C42),0)</f>
        <v>16.966224645381878</v>
      </c>
      <c r="D47" s="22">
        <f>IFERROR(('Data Sheet'!C31/D42),0)</f>
        <v>19.95841995841996</v>
      </c>
      <c r="E47" s="22">
        <f>IFERROR(('Data Sheet'!D31/E42),0)</f>
        <v>21.95223356585208</v>
      </c>
      <c r="F47" s="22">
        <f>IFERROR(('Data Sheet'!E31/F42),0)</f>
        <v>24.944567627494457</v>
      </c>
      <c r="G47" s="22">
        <f>IFERROR(('Data Sheet'!F31/G42),0)</f>
        <v>40.506894790602651</v>
      </c>
      <c r="H47" s="22">
        <f>IFERROR(('Data Sheet'!G31/H42),0)</f>
        <v>34.005788219271366</v>
      </c>
      <c r="I47" s="22">
        <f>IFERROR(('Data Sheet'!H31/I42),0)</f>
        <v>39.006639427987743</v>
      </c>
      <c r="J47" s="22">
        <f>IFERROR(('Data Sheet'!I31/J42),0)</f>
        <v>42.007150153217566</v>
      </c>
      <c r="K47" s="22">
        <f>IFERROR(('Data Sheet'!J31/K42),0)</f>
        <v>53.009022812393596</v>
      </c>
      <c r="L47" s="22">
        <f>IFERROR(('Data Sheet'!K31/L42),0)</f>
        <v>41.006979911474289</v>
      </c>
      <c r="M47" s="23">
        <f>IFERROR(('Data Sheet'!L31/M42),0)</f>
        <v>0</v>
      </c>
    </row>
    <row r="48" spans="2:13" x14ac:dyDescent="0.35">
      <c r="B48" s="14" t="s">
        <v>81</v>
      </c>
      <c r="C48" s="15">
        <f>IFERROR((C47/C44),0)</f>
        <v>0.76852239430724145</v>
      </c>
      <c r="D48" s="15">
        <f t="shared" ref="D48:M48" si="18">IFERROR((D47/D44),0)</f>
        <v>0.8498917961833562</v>
      </c>
      <c r="E48" s="15">
        <f t="shared" si="18"/>
        <v>0.78106508875739644</v>
      </c>
      <c r="F48" s="15">
        <f t="shared" si="18"/>
        <v>0.82568807339449546</v>
      </c>
      <c r="G48" s="15">
        <f t="shared" si="18"/>
        <v>1.3238976213659757</v>
      </c>
      <c r="H48" s="15">
        <f t="shared" si="18"/>
        <v>0.90302893309222432</v>
      </c>
      <c r="I48" s="15">
        <f t="shared" si="18"/>
        <v>0.91714199939957974</v>
      </c>
      <c r="J48" s="15">
        <f t="shared" si="18"/>
        <v>0.96198830409356717</v>
      </c>
      <c r="K48" s="15">
        <f t="shared" si="18"/>
        <v>1.1951828039535555</v>
      </c>
      <c r="L48" s="15">
        <f t="shared" si="18"/>
        <v>0.67847334694739803</v>
      </c>
      <c r="M48" s="15">
        <f t="shared" si="18"/>
        <v>0</v>
      </c>
    </row>
    <row r="50" spans="1:13" x14ac:dyDescent="0.35">
      <c r="B50" t="s">
        <v>82</v>
      </c>
      <c r="C50" s="15">
        <f>IFERROR(IF(C44&gt;C47,1-C48,0),0)</f>
        <v>0.23147760569275855</v>
      </c>
      <c r="D50" s="15">
        <f t="shared" ref="D50:M50" si="19">IFERROR(IF(D44&gt;D47,1-D48,0),0)</f>
        <v>0.1501082038166438</v>
      </c>
      <c r="E50" s="15">
        <f t="shared" si="19"/>
        <v>0.21893491124260356</v>
      </c>
      <c r="F50" s="15">
        <f t="shared" si="19"/>
        <v>0.17431192660550454</v>
      </c>
      <c r="G50" s="15">
        <f t="shared" si="19"/>
        <v>0</v>
      </c>
      <c r="H50" s="15">
        <f t="shared" si="19"/>
        <v>9.6971066907775683E-2</v>
      </c>
      <c r="I50" s="15">
        <f t="shared" si="19"/>
        <v>8.2858000600420256E-2</v>
      </c>
      <c r="J50" s="15">
        <f t="shared" si="19"/>
        <v>3.801169590643283E-2</v>
      </c>
      <c r="K50" s="15">
        <f t="shared" si="19"/>
        <v>0</v>
      </c>
      <c r="L50" s="15">
        <f t="shared" si="19"/>
        <v>0.32152665305260197</v>
      </c>
      <c r="M50" s="15">
        <f t="shared" si="19"/>
        <v>1</v>
      </c>
    </row>
    <row r="52" spans="1:13" x14ac:dyDescent="0.35">
      <c r="A52" t="s">
        <v>58</v>
      </c>
      <c r="B52" s="16" t="s">
        <v>83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35">
      <c r="B54" t="s">
        <v>11</v>
      </c>
      <c r="C54" s="22">
        <f>IFERROR('Data Sheet'!B57,0)</f>
        <v>216</v>
      </c>
      <c r="D54" s="22">
        <f>IFERROR('Data Sheet'!C57,0)</f>
        <v>216</v>
      </c>
      <c r="E54" s="22">
        <f>IFERROR('Data Sheet'!D57,0)</f>
        <v>216</v>
      </c>
      <c r="F54" s="22">
        <f>IFERROR('Data Sheet'!E57,0)</f>
        <v>216</v>
      </c>
      <c r="G54" s="22">
        <f>IFERROR('Data Sheet'!F57,0)</f>
        <v>235</v>
      </c>
      <c r="H54" s="22">
        <f>IFERROR('Data Sheet'!G57,0)</f>
        <v>235</v>
      </c>
      <c r="I54" s="22">
        <f>IFERROR('Data Sheet'!H57,0)</f>
        <v>235</v>
      </c>
      <c r="J54" s="22">
        <f>IFERROR('Data Sheet'!I57,0)</f>
        <v>235</v>
      </c>
      <c r="K54" s="22">
        <f>IFERROR('Data Sheet'!J57,0)</f>
        <v>235</v>
      </c>
      <c r="L54" s="22">
        <f>IFERROR('Data Sheet'!K57,0)</f>
        <v>235</v>
      </c>
    </row>
    <row r="55" spans="1:13" x14ac:dyDescent="0.35">
      <c r="B55" t="s">
        <v>12</v>
      </c>
      <c r="C55" s="22">
        <f>IFERROR('Data Sheet'!B58,0)</f>
        <v>6528</v>
      </c>
      <c r="D55" s="22">
        <f>IFERROR('Data Sheet'!C58,0)</f>
        <v>7065</v>
      </c>
      <c r="E55" s="22">
        <f>IFERROR('Data Sheet'!D58,0)</f>
        <v>7651</v>
      </c>
      <c r="F55" s="22">
        <f>IFERROR('Data Sheet'!E58,0)</f>
        <v>8013</v>
      </c>
      <c r="G55" s="22">
        <f>IFERROR('Data Sheet'!F58,0)</f>
        <v>47439</v>
      </c>
      <c r="H55" s="22">
        <f>IFERROR('Data Sheet'!G58,0)</f>
        <v>48826</v>
      </c>
      <c r="I55" s="22">
        <f>IFERROR('Data Sheet'!H58,0)</f>
        <v>50069</v>
      </c>
      <c r="J55" s="22">
        <f>IFERROR('Data Sheet'!I58,0)</f>
        <v>50983</v>
      </c>
      <c r="K55" s="22">
        <f>IFERROR('Data Sheet'!J58,0)</f>
        <v>49167</v>
      </c>
      <c r="L55" s="22">
        <f>IFERROR('Data Sheet'!K58,0)</f>
        <v>48504</v>
      </c>
    </row>
    <row r="56" spans="1:13" x14ac:dyDescent="0.35">
      <c r="B56" t="s">
        <v>37</v>
      </c>
      <c r="C56" s="22">
        <f>IFERROR('Data Sheet'!B59,0)</f>
        <v>277</v>
      </c>
      <c r="D56" s="22">
        <f>IFERROR('Data Sheet'!C59,0)</f>
        <v>0</v>
      </c>
      <c r="E56" s="22">
        <f>IFERROR('Data Sheet'!D59,0)</f>
        <v>99</v>
      </c>
      <c r="F56" s="22">
        <f>IFERROR('Data Sheet'!E59,0)</f>
        <v>0</v>
      </c>
      <c r="G56" s="22">
        <f>IFERROR('Data Sheet'!F59,0)</f>
        <v>0</v>
      </c>
      <c r="H56" s="22">
        <f>IFERROR('Data Sheet'!G59,0)</f>
        <v>1043</v>
      </c>
      <c r="I56" s="22">
        <f>IFERROR('Data Sheet'!H59,0)</f>
        <v>1219</v>
      </c>
      <c r="J56" s="22">
        <f>IFERROR('Data Sheet'!I59,0)</f>
        <v>1484</v>
      </c>
      <c r="K56" s="22">
        <f>IFERROR('Data Sheet'!J59,0)</f>
        <v>1648</v>
      </c>
      <c r="L56" s="22">
        <f>IFERROR('Data Sheet'!K59,0)</f>
        <v>1478</v>
      </c>
    </row>
    <row r="57" spans="1:13" x14ac:dyDescent="0.35">
      <c r="B57" t="s">
        <v>38</v>
      </c>
      <c r="C57" s="22">
        <f>IFERROR('Data Sheet'!B60,0)</f>
        <v>8685</v>
      </c>
      <c r="D57" s="22">
        <f>IFERROR('Data Sheet'!C60,0)</f>
        <v>10581</v>
      </c>
      <c r="E57" s="22">
        <f>IFERROR('Data Sheet'!D60,0)</f>
        <v>10663</v>
      </c>
      <c r="F57" s="22">
        <f>IFERROR('Data Sheet'!E60,0)</f>
        <v>11924</v>
      </c>
      <c r="G57" s="22">
        <f>IFERROR('Data Sheet'!F60,0)</f>
        <v>21066</v>
      </c>
      <c r="H57" s="22">
        <f>IFERROR('Data Sheet'!G60,0)</f>
        <v>20402</v>
      </c>
      <c r="I57" s="22">
        <f>IFERROR('Data Sheet'!H60,0)</f>
        <v>21554</v>
      </c>
      <c r="J57" s="22">
        <f>IFERROR('Data Sheet'!I60,0)</f>
        <v>25787</v>
      </c>
      <c r="K57" s="22">
        <f>IFERROR('Data Sheet'!J60,0)</f>
        <v>28813</v>
      </c>
      <c r="L57" s="22">
        <f>IFERROR('Data Sheet'!K60,0)</f>
        <v>29521</v>
      </c>
    </row>
    <row r="58" spans="1:13" s="2" customFormat="1" x14ac:dyDescent="0.35">
      <c r="B58" s="28" t="s">
        <v>84</v>
      </c>
      <c r="C58" s="29">
        <f>IFERROR('Data Sheet'!B61,0)</f>
        <v>15706</v>
      </c>
      <c r="D58" s="29">
        <f>IFERROR('Data Sheet'!C61,0)</f>
        <v>17862</v>
      </c>
      <c r="E58" s="29">
        <f>IFERROR('Data Sheet'!D61,0)</f>
        <v>18629</v>
      </c>
      <c r="F58" s="29">
        <f>IFERROR('Data Sheet'!E61,0)</f>
        <v>20153</v>
      </c>
      <c r="G58" s="29">
        <f>IFERROR('Data Sheet'!F61,0)</f>
        <v>68740</v>
      </c>
      <c r="H58" s="29">
        <f>IFERROR('Data Sheet'!G61,0)</f>
        <v>70506</v>
      </c>
      <c r="I58" s="29">
        <f>IFERROR('Data Sheet'!H61,0)</f>
        <v>73077</v>
      </c>
      <c r="J58" s="29">
        <f>IFERROR('Data Sheet'!I61,0)</f>
        <v>78489</v>
      </c>
      <c r="K58" s="29">
        <f>IFERROR('Data Sheet'!J61,0)</f>
        <v>79863</v>
      </c>
      <c r="L58" s="29">
        <f>IFERROR('Data Sheet'!K61,0)</f>
        <v>79738</v>
      </c>
    </row>
    <row r="60" spans="1:13" x14ac:dyDescent="0.35">
      <c r="B60" t="s">
        <v>85</v>
      </c>
      <c r="C60" s="22">
        <f>IFERROR('Data Sheet'!B62,0)</f>
        <v>4419</v>
      </c>
      <c r="D60" s="22">
        <f>IFERROR('Data Sheet'!C62,0)</f>
        <v>4528</v>
      </c>
      <c r="E60" s="22">
        <f>IFERROR('Data Sheet'!D62,0)</f>
        <v>4715</v>
      </c>
      <c r="F60" s="22">
        <f>IFERROR('Data Sheet'!E62,0)</f>
        <v>5479</v>
      </c>
      <c r="G60" s="22">
        <f>IFERROR('Data Sheet'!F62,0)</f>
        <v>51443</v>
      </c>
      <c r="H60" s="22">
        <f>IFERROR('Data Sheet'!G62,0)</f>
        <v>51473</v>
      </c>
      <c r="I60" s="22">
        <f>IFERROR('Data Sheet'!H62,0)</f>
        <v>52678</v>
      </c>
      <c r="J60" s="22">
        <f>IFERROR('Data Sheet'!I62,0)</f>
        <v>53744</v>
      </c>
      <c r="K60" s="22">
        <f>IFERROR('Data Sheet'!J62,0)</f>
        <v>54335</v>
      </c>
      <c r="L60" s="22">
        <f>IFERROR('Data Sheet'!K62,0)</f>
        <v>57428</v>
      </c>
    </row>
    <row r="61" spans="1:13" x14ac:dyDescent="0.35">
      <c r="B61" t="s">
        <v>15</v>
      </c>
      <c r="C61" s="22">
        <f>IFERROR('Data Sheet'!B63,0)</f>
        <v>229</v>
      </c>
      <c r="D61" s="22">
        <f>IFERROR('Data Sheet'!C63,0)</f>
        <v>461</v>
      </c>
      <c r="E61" s="22">
        <f>IFERROR('Data Sheet'!D63,0)</f>
        <v>406</v>
      </c>
      <c r="F61" s="22">
        <f>IFERROR('Data Sheet'!E63,0)</f>
        <v>597</v>
      </c>
      <c r="G61" s="22">
        <f>IFERROR('Data Sheet'!F63,0)</f>
        <v>745</v>
      </c>
      <c r="H61" s="22">
        <f>IFERROR('Data Sheet'!G63,0)</f>
        <v>1313</v>
      </c>
      <c r="I61" s="22">
        <f>IFERROR('Data Sheet'!H63,0)</f>
        <v>1132</v>
      </c>
      <c r="J61" s="22">
        <f>IFERROR('Data Sheet'!I63,0)</f>
        <v>1025</v>
      </c>
      <c r="K61" s="22">
        <f>IFERROR('Data Sheet'!J63,0)</f>
        <v>1009</v>
      </c>
      <c r="L61" s="22">
        <f>IFERROR('Data Sheet'!K63,0)</f>
        <v>880</v>
      </c>
    </row>
    <row r="62" spans="1:13" x14ac:dyDescent="0.35">
      <c r="B62" t="s">
        <v>16</v>
      </c>
      <c r="C62" s="22">
        <f>IFERROR('Data Sheet'!B64,0)</f>
        <v>3794</v>
      </c>
      <c r="D62" s="22">
        <f>IFERROR('Data Sheet'!C64,0)</f>
        <v>2873</v>
      </c>
      <c r="E62" s="22">
        <f>IFERROR('Data Sheet'!D64,0)</f>
        <v>2716</v>
      </c>
      <c r="F62" s="22">
        <f>IFERROR('Data Sheet'!E64,0)</f>
        <v>1255</v>
      </c>
      <c r="G62" s="22">
        <f>IFERROR('Data Sheet'!F64,0)</f>
        <v>2709</v>
      </c>
      <c r="H62" s="22">
        <f>IFERROR('Data Sheet'!G64,0)</f>
        <v>3521</v>
      </c>
      <c r="I62" s="22">
        <f>IFERROR('Data Sheet'!H64,0)</f>
        <v>2882</v>
      </c>
      <c r="J62" s="22">
        <f>IFERROR('Data Sheet'!I64,0)</f>
        <v>4625</v>
      </c>
      <c r="K62" s="22">
        <f>IFERROR('Data Sheet'!J64,0)</f>
        <v>3810</v>
      </c>
      <c r="L62" s="22">
        <f>IFERROR('Data Sheet'!K64,0)</f>
        <v>4359</v>
      </c>
    </row>
    <row r="63" spans="1:13" x14ac:dyDescent="0.35">
      <c r="B63" t="s">
        <v>39</v>
      </c>
      <c r="C63" s="22">
        <f>IFERROR('Data Sheet'!B65-SUM('Data Sheet'!B67:B69),0)</f>
        <v>1810</v>
      </c>
      <c r="D63" s="22">
        <f>IFERROR('Data Sheet'!C65-SUM('Data Sheet'!C67:C69),0)</f>
        <v>2692</v>
      </c>
      <c r="E63" s="22">
        <f>IFERROR('Data Sheet'!D65-SUM('Data Sheet'!D67:D69),0)</f>
        <v>2645</v>
      </c>
      <c r="F63" s="22">
        <f>IFERROR('Data Sheet'!E65-SUM('Data Sheet'!E67:E69),0)</f>
        <v>3793</v>
      </c>
      <c r="G63" s="22">
        <f>IFERROR('Data Sheet'!F65-SUM('Data Sheet'!F67:F69),0)</f>
        <v>4035</v>
      </c>
      <c r="H63" s="22">
        <f>IFERROR('Data Sheet'!G65-SUM('Data Sheet'!G67:G69),0)</f>
        <v>4021</v>
      </c>
      <c r="I63" s="22">
        <f>IFERROR('Data Sheet'!H65-SUM('Data Sheet'!H67:H69),0)</f>
        <v>4377</v>
      </c>
      <c r="J63" s="22">
        <f>IFERROR('Data Sheet'!I65-SUM('Data Sheet'!I67:I69),0)</f>
        <v>4517</v>
      </c>
      <c r="K63" s="22">
        <f>IFERROR('Data Sheet'!J65-SUM('Data Sheet'!J67:J69),0)</f>
        <v>4921</v>
      </c>
      <c r="L63" s="22">
        <f>IFERROR('Data Sheet'!K65-SUM('Data Sheet'!K67:K69),0)</f>
        <v>5655</v>
      </c>
    </row>
    <row r="64" spans="1:13" s="2" customFormat="1" x14ac:dyDescent="0.35">
      <c r="B64" s="28" t="s">
        <v>86</v>
      </c>
      <c r="C64" s="29">
        <f>IFERROR(SUM(C60:C63),0)</f>
        <v>10252</v>
      </c>
      <c r="D64" s="29">
        <f t="shared" ref="D64:L64" si="20">IFERROR(SUM(D60:D63),0)</f>
        <v>10554</v>
      </c>
      <c r="E64" s="29">
        <f t="shared" si="20"/>
        <v>10482</v>
      </c>
      <c r="F64" s="29">
        <f t="shared" si="20"/>
        <v>11124</v>
      </c>
      <c r="G64" s="29">
        <f t="shared" si="20"/>
        <v>58932</v>
      </c>
      <c r="H64" s="29">
        <f t="shared" si="20"/>
        <v>60328</v>
      </c>
      <c r="I64" s="29">
        <f t="shared" si="20"/>
        <v>61069</v>
      </c>
      <c r="J64" s="29">
        <f t="shared" si="20"/>
        <v>63911</v>
      </c>
      <c r="K64" s="29">
        <f t="shared" si="20"/>
        <v>64075</v>
      </c>
      <c r="L64" s="29">
        <f t="shared" si="20"/>
        <v>68322</v>
      </c>
    </row>
    <row r="66" spans="1:13" x14ac:dyDescent="0.35">
      <c r="B66" t="s">
        <v>44</v>
      </c>
      <c r="C66" s="22">
        <f>IFERROR('Data Sheet'!B67,0)</f>
        <v>1085</v>
      </c>
      <c r="D66" s="22">
        <f>IFERROR('Data Sheet'!C67,0)</f>
        <v>1310</v>
      </c>
      <c r="E66" s="22">
        <f>IFERROR('Data Sheet'!D67,0)</f>
        <v>1816</v>
      </c>
      <c r="F66" s="22">
        <f>IFERROR('Data Sheet'!E67,0)</f>
        <v>1149</v>
      </c>
      <c r="G66" s="22">
        <f>IFERROR('Data Sheet'!F67,0)</f>
        <v>1758</v>
      </c>
      <c r="H66" s="22">
        <f>IFERROR('Data Sheet'!G67,0)</f>
        <v>2236</v>
      </c>
      <c r="I66" s="22">
        <f>IFERROR('Data Sheet'!H67,0)</f>
        <v>3079</v>
      </c>
      <c r="J66" s="22">
        <f>IFERROR('Data Sheet'!I67,0)</f>
        <v>2997</v>
      </c>
      <c r="K66" s="22">
        <f>IFERROR('Data Sheet'!J67,0)</f>
        <v>3819</v>
      </c>
      <c r="L66" s="22">
        <f>IFERROR('Data Sheet'!K67,0)</f>
        <v>3379</v>
      </c>
    </row>
    <row r="67" spans="1:13" x14ac:dyDescent="0.35">
      <c r="B67" t="s">
        <v>30</v>
      </c>
      <c r="C67" s="22">
        <f>IFERROR('Data Sheet'!B68,0)</f>
        <v>2541</v>
      </c>
      <c r="D67" s="22">
        <f>IFERROR('Data Sheet'!C68,0)</f>
        <v>2513</v>
      </c>
      <c r="E67" s="22">
        <f>IFERROR('Data Sheet'!D68,0)</f>
        <v>2574</v>
      </c>
      <c r="F67" s="22">
        <f>IFERROR('Data Sheet'!E68,0)</f>
        <v>2767</v>
      </c>
      <c r="G67" s="22">
        <f>IFERROR('Data Sheet'!F68,0)</f>
        <v>3579</v>
      </c>
      <c r="H67" s="22">
        <f>IFERROR('Data Sheet'!G68,0)</f>
        <v>4096</v>
      </c>
      <c r="I67" s="22">
        <f>IFERROR('Data Sheet'!H68,0)</f>
        <v>4251</v>
      </c>
      <c r="J67" s="22">
        <f>IFERROR('Data Sheet'!I68,0)</f>
        <v>4022</v>
      </c>
      <c r="K67" s="22">
        <f>IFERROR('Data Sheet'!J68,0)</f>
        <v>4415</v>
      </c>
      <c r="L67" s="22">
        <f>IFERROR('Data Sheet'!K68,0)</f>
        <v>4789</v>
      </c>
    </row>
    <row r="68" spans="1:13" x14ac:dyDescent="0.35">
      <c r="B68" t="s">
        <v>53</v>
      </c>
      <c r="C68" s="22">
        <f>IFERROR('Data Sheet'!B69,0)</f>
        <v>1828</v>
      </c>
      <c r="D68" s="22">
        <f>IFERROR('Data Sheet'!C69,0)</f>
        <v>3485</v>
      </c>
      <c r="E68" s="22">
        <f>IFERROR('Data Sheet'!D69,0)</f>
        <v>3757</v>
      </c>
      <c r="F68" s="22">
        <f>IFERROR('Data Sheet'!E69,0)</f>
        <v>5113</v>
      </c>
      <c r="G68" s="22">
        <f>IFERROR('Data Sheet'!F69,0)</f>
        <v>4471</v>
      </c>
      <c r="H68" s="22">
        <f>IFERROR('Data Sheet'!G69,0)</f>
        <v>3846</v>
      </c>
      <c r="I68" s="22">
        <f>IFERROR('Data Sheet'!H69,0)</f>
        <v>4678</v>
      </c>
      <c r="J68" s="22">
        <f>IFERROR('Data Sheet'!I69,0)</f>
        <v>7559</v>
      </c>
      <c r="K68" s="22">
        <f>IFERROR('Data Sheet'!J69,0)</f>
        <v>7554</v>
      </c>
      <c r="L68" s="22">
        <f>IFERROR('Data Sheet'!K69,0)</f>
        <v>3248</v>
      </c>
    </row>
    <row r="69" spans="1:13" x14ac:dyDescent="0.35">
      <c r="B69" s="28" t="s">
        <v>87</v>
      </c>
      <c r="C69" s="29">
        <f>IFERROR(SUM(C66:C68),0)</f>
        <v>5454</v>
      </c>
      <c r="D69" s="29">
        <f t="shared" ref="D69:L69" si="21">IFERROR(SUM(D66:D68),0)</f>
        <v>7308</v>
      </c>
      <c r="E69" s="29">
        <f t="shared" si="21"/>
        <v>8147</v>
      </c>
      <c r="F69" s="29">
        <f t="shared" si="21"/>
        <v>9029</v>
      </c>
      <c r="G69" s="29">
        <f t="shared" si="21"/>
        <v>9808</v>
      </c>
      <c r="H69" s="29">
        <f t="shared" si="21"/>
        <v>10178</v>
      </c>
      <c r="I69" s="29">
        <f t="shared" si="21"/>
        <v>12008</v>
      </c>
      <c r="J69" s="29">
        <f t="shared" si="21"/>
        <v>14578</v>
      </c>
      <c r="K69" s="29">
        <f t="shared" si="21"/>
        <v>15788</v>
      </c>
      <c r="L69" s="29">
        <f t="shared" si="21"/>
        <v>11416</v>
      </c>
    </row>
    <row r="71" spans="1:13" s="2" customFormat="1" x14ac:dyDescent="0.35">
      <c r="B71" s="28" t="s">
        <v>88</v>
      </c>
      <c r="C71" s="29">
        <f>IFERROR((C69+C64),0)</f>
        <v>15706</v>
      </c>
      <c r="D71" s="29">
        <f t="shared" ref="D71:L71" si="22">IFERROR((D69+D64),0)</f>
        <v>17862</v>
      </c>
      <c r="E71" s="29">
        <f t="shared" si="22"/>
        <v>18629</v>
      </c>
      <c r="F71" s="29">
        <f t="shared" si="22"/>
        <v>20153</v>
      </c>
      <c r="G71" s="29">
        <f t="shared" si="22"/>
        <v>68740</v>
      </c>
      <c r="H71" s="29">
        <f t="shared" si="22"/>
        <v>70506</v>
      </c>
      <c r="I71" s="29">
        <f t="shared" si="22"/>
        <v>73077</v>
      </c>
      <c r="J71" s="29">
        <f t="shared" si="22"/>
        <v>78489</v>
      </c>
      <c r="K71" s="29">
        <f t="shared" si="22"/>
        <v>79863</v>
      </c>
      <c r="L71" s="29">
        <f t="shared" si="22"/>
        <v>79738</v>
      </c>
    </row>
    <row r="73" spans="1:13" x14ac:dyDescent="0.35">
      <c r="B73" s="2" t="s">
        <v>89</v>
      </c>
      <c r="C73" t="b">
        <f>C71=C58</f>
        <v>1</v>
      </c>
      <c r="D73" t="b">
        <f t="shared" ref="D73:L73" si="23">D71=D58</f>
        <v>1</v>
      </c>
      <c r="E73" t="b">
        <f t="shared" si="23"/>
        <v>1</v>
      </c>
      <c r="F73" t="b">
        <f t="shared" si="23"/>
        <v>1</v>
      </c>
      <c r="G73" t="b">
        <f t="shared" si="23"/>
        <v>1</v>
      </c>
      <c r="H73" t="b">
        <f t="shared" si="23"/>
        <v>1</v>
      </c>
      <c r="I73" t="b">
        <f t="shared" si="23"/>
        <v>1</v>
      </c>
      <c r="J73" t="b">
        <f t="shared" si="23"/>
        <v>1</v>
      </c>
      <c r="K73" t="b">
        <f t="shared" si="23"/>
        <v>1</v>
      </c>
      <c r="L73" t="b">
        <f t="shared" si="23"/>
        <v>1</v>
      </c>
    </row>
    <row r="75" spans="1:13" x14ac:dyDescent="0.35">
      <c r="A75" t="s">
        <v>58</v>
      </c>
      <c r="B75" s="16" t="s">
        <v>119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x14ac:dyDescent="0.35">
      <c r="B76" s="2" t="s">
        <v>120</v>
      </c>
    </row>
    <row r="77" spans="1:13" x14ac:dyDescent="0.35">
      <c r="B77" t="s">
        <v>90</v>
      </c>
      <c r="C77" s="22">
        <f>IFERROR('Cash Flow Data'!E4,0)</f>
        <v>6219</v>
      </c>
      <c r="D77" s="22">
        <f>IFERROR('Cash Flow Data'!F4,0)</f>
        <v>7237</v>
      </c>
      <c r="E77" s="22">
        <f>IFERROR('Cash Flow Data'!G4,0)</f>
        <v>8674</v>
      </c>
      <c r="F77" s="22">
        <f>IFERROR('Cash Flow Data'!H4,0)</f>
        <v>9473</v>
      </c>
      <c r="G77" s="22">
        <f>IFERROR('Cash Flow Data'!I4,0)</f>
        <v>11380</v>
      </c>
      <c r="H77" s="22">
        <f>IFERROR('Cash Flow Data'!J4,0)</f>
        <v>12473</v>
      </c>
      <c r="I77" s="22">
        <f>IFERROR('Cash Flow Data'!K4,0)</f>
        <v>13557</v>
      </c>
      <c r="J77" s="22">
        <f>IFERROR('Cash Flow Data'!L4,0)</f>
        <v>14043</v>
      </c>
      <c r="K77" s="22">
        <f>IFERROR('Cash Flow Data'!M4,0)</f>
        <v>14343</v>
      </c>
      <c r="L77" s="22">
        <f>IFERROR('Cash Flow Data'!N4,0)</f>
        <v>14538</v>
      </c>
    </row>
    <row r="78" spans="1:13" x14ac:dyDescent="0.35">
      <c r="B78" t="s">
        <v>44</v>
      </c>
      <c r="C78" s="22">
        <f>IFERROR('Cash Flow Data'!E5,0)</f>
        <v>131</v>
      </c>
      <c r="D78" s="22">
        <f>IFERROR('Cash Flow Data'!F5,0)</f>
        <v>0</v>
      </c>
      <c r="E78" s="22">
        <f>IFERROR('Cash Flow Data'!G5,0)</f>
        <v>0</v>
      </c>
      <c r="F78" s="22">
        <f>IFERROR('Cash Flow Data'!H5,0)</f>
        <v>0</v>
      </c>
      <c r="G78" s="22">
        <f>IFERROR('Cash Flow Data'!I5,0)</f>
        <v>0</v>
      </c>
      <c r="H78" s="22">
        <f>IFERROR('Cash Flow Data'!J5,0)</f>
        <v>0</v>
      </c>
      <c r="I78" s="22">
        <f>IFERROR('Cash Flow Data'!K5,0)</f>
        <v>0</v>
      </c>
      <c r="J78" s="22">
        <f>IFERROR('Cash Flow Data'!L5,0)</f>
        <v>0</v>
      </c>
      <c r="K78" s="22">
        <f>IFERROR('Cash Flow Data'!M5,0)</f>
        <v>0</v>
      </c>
      <c r="L78" s="22">
        <f>IFERROR('Cash Flow Data'!N5,0)</f>
        <v>0</v>
      </c>
    </row>
    <row r="79" spans="1:13" x14ac:dyDescent="0.35">
      <c r="B79" t="s">
        <v>30</v>
      </c>
      <c r="C79" s="22">
        <f>IFERROR('Cash Flow Data'!E6,0)</f>
        <v>38</v>
      </c>
      <c r="D79" s="22">
        <f>IFERROR('Cash Flow Data'!F6,0)</f>
        <v>-162</v>
      </c>
      <c r="E79" s="22">
        <f>IFERROR('Cash Flow Data'!G6,0)</f>
        <v>-195</v>
      </c>
      <c r="F79" s="22">
        <f>IFERROR('Cash Flow Data'!H6,0)</f>
        <v>-369</v>
      </c>
      <c r="G79" s="22">
        <f>IFERROR('Cash Flow Data'!I6,0)</f>
        <v>-472</v>
      </c>
      <c r="H79" s="22">
        <f>IFERROR('Cash Flow Data'!J6,0)</f>
        <v>-737</v>
      </c>
      <c r="I79" s="22">
        <f>IFERROR('Cash Flow Data'!K6,0)</f>
        <v>-332</v>
      </c>
      <c r="J79" s="22">
        <f>IFERROR('Cash Flow Data'!L6,0)</f>
        <v>77</v>
      </c>
      <c r="K79" s="22">
        <f>IFERROR('Cash Flow Data'!M6,0)</f>
        <v>-540</v>
      </c>
      <c r="L79" s="22">
        <f>IFERROR('Cash Flow Data'!N6,0)</f>
        <v>-630</v>
      </c>
    </row>
    <row r="80" spans="1:13" x14ac:dyDescent="0.35">
      <c r="B80" t="s">
        <v>91</v>
      </c>
      <c r="C80" s="22">
        <f>IFERROR('Cash Flow Data'!E7,0)</f>
        <v>508</v>
      </c>
      <c r="D80" s="22">
        <f>IFERROR('Cash Flow Data'!F7,0)</f>
        <v>0</v>
      </c>
      <c r="E80" s="22">
        <f>IFERROR('Cash Flow Data'!G7,0)</f>
        <v>0</v>
      </c>
      <c r="F80" s="22">
        <f>IFERROR('Cash Flow Data'!H7,0)</f>
        <v>0</v>
      </c>
      <c r="G80" s="22">
        <f>IFERROR('Cash Flow Data'!I7,0)</f>
        <v>0</v>
      </c>
      <c r="H80" s="22">
        <f>IFERROR('Cash Flow Data'!J7,0)</f>
        <v>0</v>
      </c>
      <c r="I80" s="22">
        <f>IFERROR('Cash Flow Data'!K7,0)</f>
        <v>0</v>
      </c>
      <c r="J80" s="22">
        <f>IFERROR('Cash Flow Data'!L7,0)</f>
        <v>0</v>
      </c>
      <c r="K80" s="22">
        <f>IFERROR('Cash Flow Data'!M7,0)</f>
        <v>0</v>
      </c>
      <c r="L80" s="22">
        <f>IFERROR('Cash Flow Data'!N7,0)</f>
        <v>0</v>
      </c>
    </row>
    <row r="81" spans="2:12" x14ac:dyDescent="0.35">
      <c r="B81" t="s">
        <v>92</v>
      </c>
      <c r="C81" s="22">
        <f>IFERROR('Cash Flow Data'!E8,0)</f>
        <v>-46</v>
      </c>
      <c r="D81" s="22">
        <f>IFERROR('Cash Flow Data'!F8,0)</f>
        <v>0</v>
      </c>
      <c r="E81" s="22">
        <f>IFERROR('Cash Flow Data'!G8,0)</f>
        <v>0</v>
      </c>
      <c r="F81" s="22">
        <f>IFERROR('Cash Flow Data'!H8,0)</f>
        <v>0</v>
      </c>
      <c r="G81" s="22">
        <f>IFERROR('Cash Flow Data'!I8,0)</f>
        <v>0</v>
      </c>
      <c r="H81" s="22">
        <f>IFERROR('Cash Flow Data'!J8,0)</f>
        <v>0</v>
      </c>
      <c r="I81" s="22">
        <f>IFERROR('Cash Flow Data'!K8,0)</f>
        <v>0</v>
      </c>
      <c r="J81" s="22">
        <f>IFERROR('Cash Flow Data'!L8,0)</f>
        <v>0</v>
      </c>
      <c r="K81" s="22">
        <f>IFERROR('Cash Flow Data'!M8,0)</f>
        <v>0</v>
      </c>
      <c r="L81" s="22">
        <f>IFERROR('Cash Flow Data'!N8,0)</f>
        <v>0</v>
      </c>
    </row>
    <row r="82" spans="2:12" x14ac:dyDescent="0.35">
      <c r="B82" t="s">
        <v>93</v>
      </c>
      <c r="C82" s="22">
        <f>IFERROR('Cash Flow Data'!E9,0)</f>
        <v>-93</v>
      </c>
      <c r="D82" s="22">
        <f>IFERROR('Cash Flow Data'!F9,0)</f>
        <v>1026</v>
      </c>
      <c r="E82" s="22">
        <f>IFERROR('Cash Flow Data'!G9,0)</f>
        <v>-66</v>
      </c>
      <c r="F82" s="22">
        <f>IFERROR('Cash Flow Data'!H9,0)</f>
        <v>666</v>
      </c>
      <c r="G82" s="22">
        <f>IFERROR('Cash Flow Data'!I9,0)</f>
        <v>416</v>
      </c>
      <c r="H82" s="22">
        <f>IFERROR('Cash Flow Data'!J9,0)</f>
        <v>-52</v>
      </c>
      <c r="I82" s="22">
        <f>IFERROR('Cash Flow Data'!K9,0)</f>
        <v>-531</v>
      </c>
      <c r="J82" s="22">
        <f>IFERROR('Cash Flow Data'!L9,0)</f>
        <v>1059</v>
      </c>
      <c r="K82" s="22">
        <f>IFERROR('Cash Flow Data'!M9,0)</f>
        <v>-14</v>
      </c>
      <c r="L82" s="22">
        <f>IFERROR('Cash Flow Data'!N9,0)</f>
        <v>1314</v>
      </c>
    </row>
    <row r="83" spans="2:12" x14ac:dyDescent="0.35">
      <c r="B83" t="s">
        <v>94</v>
      </c>
      <c r="C83" s="22">
        <f>IFERROR('Cash Flow Data'!E10,0)</f>
        <v>538</v>
      </c>
      <c r="D83" s="22">
        <f>IFERROR('Cash Flow Data'!F10,0)</f>
        <v>864</v>
      </c>
      <c r="E83" s="22">
        <f>IFERROR('Cash Flow Data'!G10,0)</f>
        <v>-261</v>
      </c>
      <c r="F83" s="22">
        <f>IFERROR('Cash Flow Data'!H10,0)</f>
        <v>297</v>
      </c>
      <c r="G83" s="22">
        <f>IFERROR('Cash Flow Data'!I10,0)</f>
        <v>-56</v>
      </c>
      <c r="H83" s="22">
        <f>IFERROR('Cash Flow Data'!J10,0)</f>
        <v>-789</v>
      </c>
      <c r="I83" s="22">
        <f>IFERROR('Cash Flow Data'!K10,0)</f>
        <v>-863</v>
      </c>
      <c r="J83" s="22">
        <f>IFERROR('Cash Flow Data'!L10,0)</f>
        <v>1136</v>
      </c>
      <c r="K83" s="22">
        <f>IFERROR('Cash Flow Data'!M10,0)</f>
        <v>-554</v>
      </c>
      <c r="L83" s="22">
        <f>IFERROR('Cash Flow Data'!N10,0)</f>
        <v>684</v>
      </c>
    </row>
    <row r="84" spans="2:12" x14ac:dyDescent="0.35">
      <c r="B84" t="s">
        <v>95</v>
      </c>
      <c r="C84" s="22">
        <f>IFERROR('Cash Flow Data'!E11,0)</f>
        <v>-1783</v>
      </c>
      <c r="D84" s="22">
        <f>IFERROR('Cash Flow Data'!F11,0)</f>
        <v>-2188</v>
      </c>
      <c r="E84" s="22">
        <f>IFERROR('Cash Flow Data'!G11,0)</f>
        <v>-2685</v>
      </c>
      <c r="F84" s="22">
        <f>IFERROR('Cash Flow Data'!H11,0)</f>
        <v>-2465</v>
      </c>
      <c r="G84" s="22">
        <f>IFERROR('Cash Flow Data'!I11,0)</f>
        <v>-2367</v>
      </c>
      <c r="H84" s="22">
        <f>IFERROR('Cash Flow Data'!J11,0)</f>
        <v>-2720</v>
      </c>
      <c r="I84" s="22">
        <f>IFERROR('Cash Flow Data'!K11,0)</f>
        <v>-3068</v>
      </c>
      <c r="J84" s="22">
        <f>IFERROR('Cash Flow Data'!L11,0)</f>
        <v>-295</v>
      </c>
      <c r="K84" s="22">
        <f>IFERROR('Cash Flow Data'!M11,0)</f>
        <v>-2183</v>
      </c>
      <c r="L84" s="22">
        <f>IFERROR('Cash Flow Data'!N11,0)</f>
        <v>-4726</v>
      </c>
    </row>
    <row r="85" spans="2:12" x14ac:dyDescent="0.35">
      <c r="B85" t="s">
        <v>96</v>
      </c>
      <c r="C85" s="22">
        <f>IFERROR('Cash Flow Data'!E12,0)</f>
        <v>-21</v>
      </c>
      <c r="D85" s="22">
        <f>IFERROR('Cash Flow Data'!F12,0)</f>
        <v>0</v>
      </c>
      <c r="E85" s="22">
        <f>IFERROR('Cash Flow Data'!G12,0)</f>
        <v>0</v>
      </c>
      <c r="F85" s="22">
        <f>IFERROR('Cash Flow Data'!H12,0)</f>
        <v>0</v>
      </c>
      <c r="G85" s="22">
        <f>IFERROR('Cash Flow Data'!I12,0)</f>
        <v>0</v>
      </c>
      <c r="H85" s="22">
        <f>IFERROR('Cash Flow Data'!J12,0)</f>
        <v>0</v>
      </c>
      <c r="I85" s="22">
        <f>IFERROR('Cash Flow Data'!K12,0)</f>
        <v>0</v>
      </c>
      <c r="J85" s="22">
        <f>IFERROR('Cash Flow Data'!L12,0)</f>
        <v>0</v>
      </c>
      <c r="K85" s="22">
        <f>IFERROR('Cash Flow Data'!M12,0)</f>
        <v>0</v>
      </c>
      <c r="L85" s="22">
        <f>IFERROR('Cash Flow Data'!N12,0)</f>
        <v>0</v>
      </c>
    </row>
    <row r="86" spans="2:12" x14ac:dyDescent="0.35">
      <c r="B86" s="2" t="s">
        <v>121</v>
      </c>
      <c r="C86" s="24">
        <f>IFERROR(SUM(C77,C83,C84,C85),0)</f>
        <v>4953</v>
      </c>
      <c r="D86" s="24">
        <f t="shared" ref="D86:L86" si="24">IFERROR(SUM(D77,D83,D84,D85),0)</f>
        <v>5913</v>
      </c>
      <c r="E86" s="24">
        <f t="shared" si="24"/>
        <v>5728</v>
      </c>
      <c r="F86" s="24">
        <f t="shared" si="24"/>
        <v>7305</v>
      </c>
      <c r="G86" s="24">
        <f t="shared" si="24"/>
        <v>8957</v>
      </c>
      <c r="H86" s="24">
        <f t="shared" si="24"/>
        <v>8964</v>
      </c>
      <c r="I86" s="24">
        <f t="shared" si="24"/>
        <v>9626</v>
      </c>
      <c r="J86" s="24">
        <f t="shared" si="24"/>
        <v>14884</v>
      </c>
      <c r="K86" s="24">
        <f t="shared" si="24"/>
        <v>11606</v>
      </c>
      <c r="L86" s="24">
        <f t="shared" si="24"/>
        <v>10496</v>
      </c>
    </row>
    <row r="88" spans="2:12" x14ac:dyDescent="0.35">
      <c r="B88" s="2" t="s">
        <v>122</v>
      </c>
    </row>
    <row r="89" spans="2:12" x14ac:dyDescent="0.35">
      <c r="B89" t="s">
        <v>97</v>
      </c>
      <c r="C89" s="22">
        <f>IFERROR('Cash Flow Data'!E14,0)</f>
        <v>-1024</v>
      </c>
      <c r="D89" s="22">
        <f>IFERROR('Cash Flow Data'!F14,0)</f>
        <v>-853</v>
      </c>
      <c r="E89" s="22">
        <f>IFERROR('Cash Flow Data'!G14,0)</f>
        <v>-728</v>
      </c>
      <c r="F89" s="22">
        <f>IFERROR('Cash Flow Data'!H14,0)</f>
        <v>-765</v>
      </c>
      <c r="G89" s="22">
        <f>IFERROR('Cash Flow Data'!I14,0)</f>
        <v>-4051</v>
      </c>
      <c r="H89" s="22">
        <f>IFERROR('Cash Flow Data'!J14,0)</f>
        <v>-919</v>
      </c>
      <c r="I89" s="22">
        <f>IFERROR('Cash Flow Data'!K14,0)</f>
        <v>-1041</v>
      </c>
      <c r="J89" s="22">
        <f>IFERROR('Cash Flow Data'!L14,0)</f>
        <v>-1318</v>
      </c>
      <c r="K89" s="22">
        <f>IFERROR('Cash Flow Data'!M14,0)</f>
        <v>-1149</v>
      </c>
      <c r="L89" s="22">
        <f>IFERROR('Cash Flow Data'!N14,0)</f>
        <v>-1274</v>
      </c>
    </row>
    <row r="90" spans="2:12" x14ac:dyDescent="0.35">
      <c r="B90" t="s">
        <v>98</v>
      </c>
      <c r="C90" s="22">
        <f>IFERROR('Cash Flow Data'!E15,0)</f>
        <v>172</v>
      </c>
      <c r="D90" s="22">
        <f>IFERROR('Cash Flow Data'!F15,0)</f>
        <v>26</v>
      </c>
      <c r="E90" s="22">
        <f>IFERROR('Cash Flow Data'!G15,0)</f>
        <v>4</v>
      </c>
      <c r="F90" s="22">
        <f>IFERROR('Cash Flow Data'!H15,0)</f>
        <v>52</v>
      </c>
      <c r="G90" s="22">
        <f>IFERROR('Cash Flow Data'!I15,0)</f>
        <v>97</v>
      </c>
      <c r="H90" s="22">
        <f>IFERROR('Cash Flow Data'!J15,0)</f>
        <v>175</v>
      </c>
      <c r="I90" s="22">
        <f>IFERROR('Cash Flow Data'!K15,0)</f>
        <v>180</v>
      </c>
      <c r="J90" s="22">
        <f>IFERROR('Cash Flow Data'!L15,0)</f>
        <v>20</v>
      </c>
      <c r="K90" s="22">
        <f>IFERROR('Cash Flow Data'!M15,0)</f>
        <v>13</v>
      </c>
      <c r="L90" s="22">
        <f>IFERROR('Cash Flow Data'!N15,0)</f>
        <v>29</v>
      </c>
    </row>
    <row r="91" spans="2:12" x14ac:dyDescent="0.35">
      <c r="B91" t="s">
        <v>99</v>
      </c>
      <c r="C91" s="22">
        <f>IFERROR('Cash Flow Data'!E16,0)</f>
        <v>-26230</v>
      </c>
      <c r="D91" s="22">
        <f>IFERROR('Cash Flow Data'!F16,0)</f>
        <v>-47755</v>
      </c>
      <c r="E91" s="22">
        <f>IFERROR('Cash Flow Data'!G16,0)</f>
        <v>-70434</v>
      </c>
      <c r="F91" s="22">
        <f>IFERROR('Cash Flow Data'!H16,0)</f>
        <v>-34074</v>
      </c>
      <c r="G91" s="22">
        <f>IFERROR('Cash Flow Data'!I16,0)</f>
        <v>-38450</v>
      </c>
      <c r="H91" s="22">
        <f>IFERROR('Cash Flow Data'!J16,0)</f>
        <v>-47928</v>
      </c>
      <c r="I91" s="22">
        <f>IFERROR('Cash Flow Data'!K16,0)</f>
        <v>-22631</v>
      </c>
      <c r="J91" s="22">
        <f>IFERROR('Cash Flow Data'!L16,0)</f>
        <v>-21198</v>
      </c>
      <c r="K91" s="22">
        <f>IFERROR('Cash Flow Data'!M16,0)</f>
        <v>-20943</v>
      </c>
      <c r="L91" s="22">
        <f>IFERROR('Cash Flow Data'!N16,0)</f>
        <v>-23058</v>
      </c>
    </row>
    <row r="92" spans="2:12" x14ac:dyDescent="0.35">
      <c r="B92" t="s">
        <v>100</v>
      </c>
      <c r="C92" s="22">
        <f>IFERROR('Cash Flow Data'!E17,0)</f>
        <v>25260</v>
      </c>
      <c r="D92" s="22">
        <f>IFERROR('Cash Flow Data'!F17,0)</f>
        <v>48534</v>
      </c>
      <c r="E92" s="22">
        <f>IFERROR('Cash Flow Data'!G17,0)</f>
        <v>70761</v>
      </c>
      <c r="F92" s="22">
        <f>IFERROR('Cash Flow Data'!H17,0)</f>
        <v>35656</v>
      </c>
      <c r="G92" s="22">
        <f>IFERROR('Cash Flow Data'!I17,0)</f>
        <v>37076</v>
      </c>
      <c r="H92" s="22">
        <f>IFERROR('Cash Flow Data'!J17,0)</f>
        <v>47173</v>
      </c>
      <c r="I92" s="22">
        <f>IFERROR('Cash Flow Data'!K17,0)</f>
        <v>23363</v>
      </c>
      <c r="J92" s="22">
        <f>IFERROR('Cash Flow Data'!L17,0)</f>
        <v>19752</v>
      </c>
      <c r="K92" s="22">
        <f>IFERROR('Cash Flow Data'!M17,0)</f>
        <v>21984</v>
      </c>
      <c r="L92" s="22">
        <f>IFERROR('Cash Flow Data'!N17,0)</f>
        <v>22609</v>
      </c>
    </row>
    <row r="93" spans="2:12" x14ac:dyDescent="0.35">
      <c r="B93" t="s">
        <v>101</v>
      </c>
      <c r="C93" s="22">
        <f>IFERROR('Cash Flow Data'!E18,0)</f>
        <v>266</v>
      </c>
      <c r="D93" s="22">
        <f>IFERROR('Cash Flow Data'!F18,0)</f>
        <v>229</v>
      </c>
      <c r="E93" s="22">
        <f>IFERROR('Cash Flow Data'!G18,0)</f>
        <v>308</v>
      </c>
      <c r="F93" s="22">
        <f>IFERROR('Cash Flow Data'!H18,0)</f>
        <v>359</v>
      </c>
      <c r="G93" s="22">
        <f>IFERROR('Cash Flow Data'!I18,0)</f>
        <v>285</v>
      </c>
      <c r="H93" s="22">
        <f>IFERROR('Cash Flow Data'!J18,0)</f>
        <v>171</v>
      </c>
      <c r="I93" s="22">
        <f>IFERROR('Cash Flow Data'!K18,0)</f>
        <v>273</v>
      </c>
      <c r="J93" s="22">
        <f>IFERROR('Cash Flow Data'!L18,0)</f>
        <v>417</v>
      </c>
      <c r="K93" s="22">
        <f>IFERROR('Cash Flow Data'!M18,0)</f>
        <v>768</v>
      </c>
      <c r="L93" s="22">
        <f>IFERROR('Cash Flow Data'!N18,0)</f>
        <v>431</v>
      </c>
    </row>
    <row r="94" spans="2:12" x14ac:dyDescent="0.35">
      <c r="B94" t="s">
        <v>102</v>
      </c>
      <c r="C94" s="22">
        <f>IFERROR('Cash Flow Data'!E19,0)</f>
        <v>178</v>
      </c>
      <c r="D94" s="22">
        <f>IFERROR('Cash Flow Data'!F19,0)</f>
        <v>190</v>
      </c>
      <c r="E94" s="22">
        <f>IFERROR('Cash Flow Data'!G19,0)</f>
        <v>103</v>
      </c>
      <c r="F94" s="22">
        <f>IFERROR('Cash Flow Data'!H19,0)</f>
        <v>96</v>
      </c>
      <c r="G94" s="22">
        <f>IFERROR('Cash Flow Data'!I19,0)</f>
        <v>102</v>
      </c>
      <c r="H94" s="22">
        <f>IFERROR('Cash Flow Data'!J19,0)</f>
        <v>131</v>
      </c>
      <c r="I94" s="22">
        <f>IFERROR('Cash Flow Data'!K19,0)</f>
        <v>118</v>
      </c>
      <c r="J94" s="22">
        <f>IFERROR('Cash Flow Data'!L19,0)</f>
        <v>176</v>
      </c>
      <c r="K94" s="22">
        <f>IFERROR('Cash Flow Data'!M19,0)</f>
        <v>169</v>
      </c>
      <c r="L94" s="22">
        <f>IFERROR('Cash Flow Data'!N19,0)</f>
        <v>230</v>
      </c>
    </row>
    <row r="95" spans="2:12" x14ac:dyDescent="0.35">
      <c r="B95" t="s">
        <v>164</v>
      </c>
      <c r="C95" s="22">
        <f>IFERROR('Cash Flow Data'!E20,0)</f>
        <v>0</v>
      </c>
      <c r="D95" s="22">
        <f>IFERROR('Cash Flow Data'!F20,0)</f>
        <v>0</v>
      </c>
      <c r="E95" s="22">
        <f>IFERROR('Cash Flow Data'!G20,0)</f>
        <v>0</v>
      </c>
      <c r="F95" s="22">
        <f>IFERROR('Cash Flow Data'!H20,0)</f>
        <v>0</v>
      </c>
      <c r="G95" s="22">
        <f>IFERROR('Cash Flow Data'!I20,0)</f>
        <v>-60</v>
      </c>
      <c r="H95" s="22">
        <f>IFERROR('Cash Flow Data'!J20,0)</f>
        <v>-300</v>
      </c>
      <c r="I95" s="22">
        <f>IFERROR('Cash Flow Data'!K20,0)</f>
        <v>-264</v>
      </c>
      <c r="J95" s="22">
        <f>IFERROR('Cash Flow Data'!L20,0)</f>
        <v>0</v>
      </c>
      <c r="K95" s="22">
        <f>IFERROR('Cash Flow Data'!M20,0)</f>
        <v>-5</v>
      </c>
      <c r="L95" s="22">
        <f>IFERROR('Cash Flow Data'!N20,0)</f>
        <v>-3530</v>
      </c>
    </row>
    <row r="96" spans="2:12" x14ac:dyDescent="0.35">
      <c r="B96" t="s">
        <v>165</v>
      </c>
      <c r="C96" s="22">
        <f>IFERROR('Cash Flow Data'!E21,0)</f>
        <v>-84</v>
      </c>
      <c r="D96" s="22">
        <f>IFERROR('Cash Flow Data'!F21,0)</f>
        <v>-183</v>
      </c>
      <c r="E96" s="22">
        <f>IFERROR('Cash Flow Data'!G21,0)</f>
        <v>-248</v>
      </c>
      <c r="F96" s="22">
        <f>IFERROR('Cash Flow Data'!H21,0)</f>
        <v>-292</v>
      </c>
      <c r="G96" s="22">
        <f>IFERROR('Cash Flow Data'!I21,0)</f>
        <v>-180</v>
      </c>
      <c r="H96" s="22">
        <f>IFERROR('Cash Flow Data'!J21,0)</f>
        <v>-436</v>
      </c>
      <c r="I96" s="22">
        <f>IFERROR('Cash Flow Data'!K21,0)</f>
        <v>-493</v>
      </c>
      <c r="J96" s="22">
        <f>IFERROR('Cash Flow Data'!L21,0)</f>
        <v>-431</v>
      </c>
      <c r="K96" s="22">
        <f>IFERROR('Cash Flow Data'!M21,0)</f>
        <v>-362</v>
      </c>
      <c r="L96" s="22">
        <f>IFERROR('Cash Flow Data'!N21,0)</f>
        <v>-171</v>
      </c>
    </row>
    <row r="97" spans="2:12" x14ac:dyDescent="0.35">
      <c r="B97" t="s">
        <v>166</v>
      </c>
      <c r="C97" s="22">
        <f>IFERROR('Cash Flow Data'!E22,0)</f>
        <v>20</v>
      </c>
      <c r="D97" s="22">
        <f>IFERROR('Cash Flow Data'!F22,0)</f>
        <v>73</v>
      </c>
      <c r="E97" s="22">
        <f>IFERROR('Cash Flow Data'!G22,0)</f>
        <v>0</v>
      </c>
      <c r="F97" s="22">
        <f>IFERROR('Cash Flow Data'!H22,0)</f>
        <v>0</v>
      </c>
      <c r="G97" s="22">
        <f>IFERROR('Cash Flow Data'!I22,0)</f>
        <v>0</v>
      </c>
      <c r="H97" s="22">
        <f>IFERROR('Cash Flow Data'!J22,0)</f>
        <v>0</v>
      </c>
      <c r="I97" s="22">
        <f>IFERROR('Cash Flow Data'!K22,0)</f>
        <v>0</v>
      </c>
      <c r="J97" s="22">
        <f>IFERROR('Cash Flow Data'!L22,0)</f>
        <v>0</v>
      </c>
      <c r="K97" s="22">
        <f>IFERROR('Cash Flow Data'!M22,0)</f>
        <v>0</v>
      </c>
      <c r="L97" s="22">
        <f>IFERROR('Cash Flow Data'!N22,0)</f>
        <v>298</v>
      </c>
    </row>
    <row r="98" spans="2:12" x14ac:dyDescent="0.35">
      <c r="B98" t="s">
        <v>103</v>
      </c>
      <c r="C98" s="22">
        <f>IFERROR('Cash Flow Data'!E23,0)</f>
        <v>0</v>
      </c>
      <c r="D98" s="22">
        <f>IFERROR('Cash Flow Data'!F23,0)</f>
        <v>0</v>
      </c>
      <c r="E98" s="22">
        <f>IFERROR('Cash Flow Data'!G23,0)</f>
        <v>0</v>
      </c>
      <c r="F98" s="22">
        <f>IFERROR('Cash Flow Data'!H23,0)</f>
        <v>0</v>
      </c>
      <c r="G98" s="22">
        <f>IFERROR('Cash Flow Data'!I23,0)</f>
        <v>0</v>
      </c>
      <c r="H98" s="22">
        <f>IFERROR('Cash Flow Data'!J23,0)</f>
        <v>0</v>
      </c>
      <c r="I98" s="22">
        <f>IFERROR('Cash Flow Data'!K23,0)</f>
        <v>0</v>
      </c>
      <c r="J98" s="22">
        <f>IFERROR('Cash Flow Data'!L23,0)</f>
        <v>0</v>
      </c>
      <c r="K98" s="22">
        <f>IFERROR('Cash Flow Data'!M23,0)</f>
        <v>0</v>
      </c>
      <c r="L98" s="22">
        <f>IFERROR('Cash Flow Data'!N23,0)</f>
        <v>0</v>
      </c>
    </row>
    <row r="99" spans="2:12" x14ac:dyDescent="0.35">
      <c r="B99" t="s">
        <v>104</v>
      </c>
      <c r="C99" s="22">
        <f>IFERROR('Cash Flow Data'!E24,0)</f>
        <v>690</v>
      </c>
      <c r="D99" s="22">
        <f>IFERROR('Cash Flow Data'!F24,0)</f>
        <v>-1522</v>
      </c>
      <c r="E99" s="22">
        <f>IFERROR('Cash Flow Data'!G24,0)</f>
        <v>-30</v>
      </c>
      <c r="F99" s="22">
        <f>IFERROR('Cash Flow Data'!H24,0)</f>
        <v>894</v>
      </c>
      <c r="G99" s="22">
        <f>IFERROR('Cash Flow Data'!I24,0)</f>
        <v>4114</v>
      </c>
      <c r="H99" s="22">
        <f>IFERROR('Cash Flow Data'!J24,0)</f>
        <v>201</v>
      </c>
      <c r="I99" s="22">
        <f>IFERROR('Cash Flow Data'!K24,0)</f>
        <v>-567</v>
      </c>
      <c r="J99" s="22">
        <f>IFERROR('Cash Flow Data'!L24,0)</f>
        <v>-2389</v>
      </c>
      <c r="K99" s="22">
        <f>IFERROR('Cash Flow Data'!M24,0)</f>
        <v>6288</v>
      </c>
      <c r="L99" s="22">
        <f>IFERROR('Cash Flow Data'!N24,0)</f>
        <v>963</v>
      </c>
    </row>
    <row r="100" spans="2:12" x14ac:dyDescent="0.35">
      <c r="B100" s="2" t="s">
        <v>123</v>
      </c>
      <c r="C100" s="24">
        <f>IFERROR(SUM(C89:C99),0)</f>
        <v>-752</v>
      </c>
      <c r="D100" s="24">
        <f>IFERROR(SUM(D89:D99),0)</f>
        <v>-1261</v>
      </c>
      <c r="E100" s="24">
        <f>IFERROR(SUM(E89:E99),0)</f>
        <v>-264</v>
      </c>
      <c r="F100" s="24">
        <f>IFERROR(SUM(F89:F99),0)</f>
        <v>1926</v>
      </c>
      <c r="G100" s="24">
        <f>IFERROR(SUM(G89:G99),0)</f>
        <v>-1067</v>
      </c>
      <c r="H100" s="24">
        <f>IFERROR(SUM(H89:H99),0)</f>
        <v>-1732</v>
      </c>
      <c r="I100" s="24">
        <f>IFERROR(SUM(I89:I99),0)</f>
        <v>-1062</v>
      </c>
      <c r="J100" s="24">
        <f>IFERROR(SUM(J89:J99),0)</f>
        <v>-4971</v>
      </c>
      <c r="K100" s="24">
        <f>IFERROR(SUM(K89:K99),0)</f>
        <v>6763</v>
      </c>
      <c r="L100" s="24">
        <f>IFERROR(SUM(L89:L99),0)</f>
        <v>-3473</v>
      </c>
    </row>
    <row r="102" spans="2:12" x14ac:dyDescent="0.35">
      <c r="B102" s="2" t="s">
        <v>124</v>
      </c>
    </row>
    <row r="103" spans="2:12" x14ac:dyDescent="0.35">
      <c r="B103" t="s">
        <v>105</v>
      </c>
      <c r="C103" s="22">
        <f>IFERROR('Cash Flow Data'!E26,0)</f>
        <v>0</v>
      </c>
      <c r="D103" s="22">
        <f>IFERROR('Cash Flow Data'!F26,0)</f>
        <v>0</v>
      </c>
      <c r="E103" s="22">
        <f>IFERROR('Cash Flow Data'!G26,0)</f>
        <v>0</v>
      </c>
      <c r="F103" s="22">
        <f>IFERROR('Cash Flow Data'!H26,0)</f>
        <v>0</v>
      </c>
      <c r="G103" s="22">
        <f>IFERROR('Cash Flow Data'!I26,0)</f>
        <v>0</v>
      </c>
      <c r="H103" s="22">
        <f>IFERROR('Cash Flow Data'!J26,0)</f>
        <v>0</v>
      </c>
      <c r="I103" s="22">
        <f>IFERROR('Cash Flow Data'!K26,0)</f>
        <v>0</v>
      </c>
      <c r="J103" s="22">
        <f>IFERROR('Cash Flow Data'!L26,0)</f>
        <v>0</v>
      </c>
      <c r="K103" s="22">
        <f>IFERROR('Cash Flow Data'!M26,0)</f>
        <v>0</v>
      </c>
      <c r="L103" s="22">
        <f>IFERROR('Cash Flow Data'!N26,0)</f>
        <v>0</v>
      </c>
    </row>
    <row r="104" spans="2:12" x14ac:dyDescent="0.35">
      <c r="B104" t="s">
        <v>106</v>
      </c>
      <c r="C104" s="22">
        <v>0</v>
      </c>
      <c r="D104" s="22">
        <v>0</v>
      </c>
      <c r="E104" s="22">
        <v>0</v>
      </c>
      <c r="F104" s="22">
        <v>0</v>
      </c>
      <c r="G104" s="22">
        <v>0</v>
      </c>
      <c r="H104" s="22">
        <v>0</v>
      </c>
      <c r="I104" s="22">
        <v>0</v>
      </c>
      <c r="J104" s="22">
        <v>0</v>
      </c>
      <c r="K104" s="22">
        <v>0</v>
      </c>
      <c r="L104" s="22">
        <v>0</v>
      </c>
    </row>
    <row r="105" spans="2:12" x14ac:dyDescent="0.35">
      <c r="B105" t="s">
        <v>107</v>
      </c>
      <c r="C105" s="22"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</row>
    <row r="106" spans="2:12" x14ac:dyDescent="0.35">
      <c r="B106" t="s">
        <v>108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</row>
    <row r="107" spans="2:12" x14ac:dyDescent="0.35">
      <c r="B107" t="s">
        <v>109</v>
      </c>
      <c r="C107" s="22">
        <f>IFERROR('Cash Flow Data'!E27,0)</f>
        <v>0</v>
      </c>
      <c r="D107" s="22">
        <f>IFERROR('Cash Flow Data'!F27,0)</f>
        <v>0</v>
      </c>
      <c r="E107" s="22">
        <f>IFERROR('Cash Flow Data'!G27,0)</f>
        <v>-3</v>
      </c>
      <c r="F107" s="22">
        <f>IFERROR('Cash Flow Data'!H27,0)</f>
        <v>-80</v>
      </c>
      <c r="G107" s="22">
        <f>IFERROR('Cash Flow Data'!I27,0)</f>
        <v>-86</v>
      </c>
      <c r="H107" s="22">
        <f>IFERROR('Cash Flow Data'!J27,0)</f>
        <v>-77</v>
      </c>
      <c r="I107" s="22">
        <f>IFERROR('Cash Flow Data'!K27,0)</f>
        <v>-76</v>
      </c>
      <c r="J107" s="22">
        <f>IFERROR('Cash Flow Data'!L27,0)</f>
        <v>-98</v>
      </c>
      <c r="K107" s="22">
        <f>IFERROR('Cash Flow Data'!M27,0)</f>
        <v>-118</v>
      </c>
      <c r="L107" s="22">
        <f>IFERROR('Cash Flow Data'!N27,0)</f>
        <v>-117</v>
      </c>
    </row>
    <row r="108" spans="2:12" x14ac:dyDescent="0.35">
      <c r="B108" t="s">
        <v>110</v>
      </c>
      <c r="C108" s="22">
        <f>IFERROR('Cash Flow Data'!E28,0)</f>
        <v>-3561</v>
      </c>
      <c r="D108" s="22">
        <f>IFERROR('Cash Flow Data'!F28,0)</f>
        <v>-3896</v>
      </c>
      <c r="E108" s="22">
        <f>IFERROR('Cash Flow Data'!G28,0)</f>
        <v>-4546</v>
      </c>
      <c r="F108" s="22">
        <f>IFERROR('Cash Flow Data'!H28,0)</f>
        <v>-5196</v>
      </c>
      <c r="G108" s="22">
        <f>IFERROR('Cash Flow Data'!I28,0)</f>
        <v>-8811</v>
      </c>
      <c r="H108" s="22">
        <f>IFERROR('Cash Flow Data'!J28,0)</f>
        <v>-7519</v>
      </c>
      <c r="I108" s="22">
        <f>IFERROR('Cash Flow Data'!K28,0)</f>
        <v>-8459</v>
      </c>
      <c r="J108" s="22">
        <f>IFERROR('Cash Flow Data'!L28,0)</f>
        <v>-9398</v>
      </c>
      <c r="K108" s="22">
        <f>IFERROR('Cash Flow Data'!M28,0)</f>
        <v>-12453</v>
      </c>
      <c r="L108" s="22">
        <f>IFERROR('Cash Flow Data'!N28,0)</f>
        <v>-10103</v>
      </c>
    </row>
    <row r="109" spans="2:12" x14ac:dyDescent="0.35">
      <c r="B109" t="s">
        <v>111</v>
      </c>
      <c r="C109" s="22">
        <f>IFERROR('Cash Flow Data'!E29,0)</f>
        <v>0</v>
      </c>
      <c r="D109" s="22">
        <f>IFERROR('Cash Flow Data'!F29,0)</f>
        <v>0</v>
      </c>
      <c r="E109" s="22">
        <f>IFERROR('Cash Flow Data'!G29,0)</f>
        <v>0</v>
      </c>
      <c r="F109" s="22">
        <f>IFERROR('Cash Flow Data'!H29,0)</f>
        <v>-352</v>
      </c>
      <c r="G109" s="22">
        <f>IFERROR('Cash Flow Data'!I29,0)</f>
        <v>-383</v>
      </c>
      <c r="H109" s="22">
        <f>IFERROR('Cash Flow Data'!J29,0)</f>
        <v>-388</v>
      </c>
      <c r="I109" s="22">
        <f>IFERROR('Cash Flow Data'!K29,0)</f>
        <v>-431</v>
      </c>
      <c r="J109" s="22">
        <f>IFERROR('Cash Flow Data'!L29,0)</f>
        <v>-394</v>
      </c>
      <c r="K109" s="22">
        <f>IFERROR('Cash Flow Data'!M29,0)</f>
        <v>-460</v>
      </c>
      <c r="L109" s="22">
        <f>IFERROR('Cash Flow Data'!N29,0)</f>
        <v>-464</v>
      </c>
    </row>
    <row r="110" spans="2:12" x14ac:dyDescent="0.35">
      <c r="B110" t="s">
        <v>112</v>
      </c>
      <c r="C110" s="22">
        <v>0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</row>
    <row r="111" spans="2:12" x14ac:dyDescent="0.35">
      <c r="B111" t="s">
        <v>113</v>
      </c>
      <c r="C111" s="22">
        <f>IFERROR('Cash Flow Data'!E30,0)</f>
        <v>-703</v>
      </c>
      <c r="D111" s="22">
        <f>IFERROR('Cash Flow Data'!F30,0)</f>
        <v>-755</v>
      </c>
      <c r="E111" s="22">
        <f>IFERROR('Cash Flow Data'!G30,0)</f>
        <v>-913</v>
      </c>
      <c r="F111" s="22">
        <f>IFERROR('Cash Flow Data'!H30,0)</f>
        <v>-1048</v>
      </c>
      <c r="G111" s="22">
        <f>IFERROR('Cash Flow Data'!I30,0)</f>
        <v>0</v>
      </c>
      <c r="H111" s="22">
        <f>IFERROR('Cash Flow Data'!J30,0)</f>
        <v>0</v>
      </c>
      <c r="I111" s="22">
        <f>IFERROR('Cash Flow Data'!K30,0)</f>
        <v>0</v>
      </c>
      <c r="J111" s="22">
        <f>IFERROR('Cash Flow Data'!L30,0)</f>
        <v>0</v>
      </c>
      <c r="K111" s="22">
        <f>IFERROR('Cash Flow Data'!M30,0)</f>
        <v>0</v>
      </c>
      <c r="L111" s="22">
        <f>IFERROR('Cash Flow Data'!N30,0)</f>
        <v>0</v>
      </c>
    </row>
    <row r="112" spans="2:12" x14ac:dyDescent="0.35">
      <c r="B112" s="2" t="s">
        <v>125</v>
      </c>
      <c r="C112" s="24">
        <f>IFERROR(SUM(C103:C111),0)</f>
        <v>-4264</v>
      </c>
      <c r="D112" s="24">
        <f t="shared" ref="D112:L112" si="25">IFERROR(SUM(D103:D111),0)</f>
        <v>-4651</v>
      </c>
      <c r="E112" s="24">
        <f t="shared" si="25"/>
        <v>-5462</v>
      </c>
      <c r="F112" s="24">
        <f>IFERROR(SUM(F103:F111),0)</f>
        <v>-6676</v>
      </c>
      <c r="G112" s="24">
        <f t="shared" si="25"/>
        <v>-9280</v>
      </c>
      <c r="H112" s="24">
        <f t="shared" si="25"/>
        <v>-7984</v>
      </c>
      <c r="I112" s="24">
        <f t="shared" si="25"/>
        <v>-8966</v>
      </c>
      <c r="J112" s="24">
        <f t="shared" si="25"/>
        <v>-9890</v>
      </c>
      <c r="K112" s="24">
        <f t="shared" si="25"/>
        <v>-13031</v>
      </c>
      <c r="L112" s="24">
        <f t="shared" si="25"/>
        <v>-10684</v>
      </c>
    </row>
    <row r="114" spans="2:12" x14ac:dyDescent="0.35">
      <c r="B114" s="2" t="s">
        <v>21</v>
      </c>
      <c r="C114" s="24">
        <f>IFERROR(SUM(C112,C100,C86),0)</f>
        <v>-63</v>
      </c>
      <c r="D114" s="24">
        <f>IFERROR(SUM(D112,D100,D86),0)</f>
        <v>1</v>
      </c>
      <c r="E114" s="24">
        <f>IFERROR(SUM(E112,E100,E86),0)</f>
        <v>2</v>
      </c>
      <c r="F114" s="24">
        <f>IFERROR(SUM(F112,F100,F86),0)</f>
        <v>2555</v>
      </c>
      <c r="G114" s="24">
        <f>IFERROR(SUM(G112,G100,G86),0)</f>
        <v>-1390</v>
      </c>
      <c r="H114" s="24">
        <f>IFERROR(SUM(H112,H100,H86),0)</f>
        <v>-752</v>
      </c>
      <c r="I114" s="24">
        <f>IFERROR(SUM(I112,I100,I86),0)</f>
        <v>-402</v>
      </c>
      <c r="J114" s="24">
        <f>IFERROR(SUM(J112,J100,J86),0)</f>
        <v>23</v>
      </c>
      <c r="K114" s="24">
        <f>IFERROR(SUM(K112,K100,K86),0)</f>
        <v>5338</v>
      </c>
      <c r="L114" s="24">
        <f>IFERROR(SUM(L112,L100,L86),0)</f>
        <v>-3661</v>
      </c>
    </row>
  </sheetData>
  <mergeCells count="1">
    <mergeCell ref="B2:M2"/>
  </mergeCells>
  <pageMargins left="0.7" right="0.7" top="0.75" bottom="0.75" header="0.3" footer="0.3"/>
  <pageSetup paperSize="9" orientation="portrait" r:id="rId1"/>
  <ignoredErrors>
    <ignoredError sqref="C18:M18 M24 M27 M36 M6 C9 D9:L9 M3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F9B36-53D1-4B28-B635-D9836A790BFE}">
  <sheetPr>
    <tabColor rgb="FF002060"/>
  </sheetPr>
  <dimension ref="B2:P41"/>
  <sheetViews>
    <sheetView showGridLines="0" workbookViewId="0">
      <pane ySplit="3" topLeftCell="A4" activePane="bottomLeft" state="frozen"/>
      <selection pane="bottomLeft" activeCell="E15" sqref="E15"/>
    </sheetView>
  </sheetViews>
  <sheetFormatPr defaultRowHeight="14.5" x14ac:dyDescent="0.35"/>
  <cols>
    <col min="1" max="1" width="1.81640625" customWidth="1"/>
    <col min="2" max="2" width="27.54296875" customWidth="1"/>
    <col min="3" max="3" width="9.81640625" bestFit="1" customWidth="1"/>
    <col min="13" max="13" width="0" hidden="1" customWidth="1"/>
    <col min="14" max="14" width="17.81640625" customWidth="1"/>
    <col min="15" max="15" width="11.90625" customWidth="1"/>
    <col min="16" max="16" width="12.7265625" customWidth="1"/>
  </cols>
  <sheetData>
    <row r="2" spans="2:16" x14ac:dyDescent="0.35">
      <c r="B2" s="57" t="str">
        <f>"Ratio Analysis - " &amp; 'Data Sheet'!B1</f>
        <v>Ratio Analysis - HINDUSTAN UNILEVER LTD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2:16" x14ac:dyDescent="0.35">
      <c r="B3" s="10" t="s">
        <v>56</v>
      </c>
      <c r="C3" s="11">
        <f>IFERROR('Data Sheet'!B16,0)</f>
        <v>42825</v>
      </c>
      <c r="D3" s="11">
        <f>IFERROR('Data Sheet'!C16,0)</f>
        <v>43190</v>
      </c>
      <c r="E3" s="11">
        <f>IFERROR('Data Sheet'!D16,0)</f>
        <v>43555</v>
      </c>
      <c r="F3" s="11">
        <f>IFERROR('Data Sheet'!E16,0)</f>
        <v>43921</v>
      </c>
      <c r="G3" s="11">
        <f>IFERROR('Data Sheet'!F16,0)</f>
        <v>44286</v>
      </c>
      <c r="H3" s="11">
        <f>IFERROR('Data Sheet'!G16,0)</f>
        <v>44651</v>
      </c>
      <c r="I3" s="11">
        <f>IFERROR('Data Sheet'!H16,0)</f>
        <v>45016</v>
      </c>
      <c r="J3" s="11">
        <f>IFERROR('Data Sheet'!I16,0)</f>
        <v>45382</v>
      </c>
      <c r="K3" s="11">
        <f>IFERROR('Data Sheet'!J16,0)</f>
        <v>45747</v>
      </c>
      <c r="L3" s="11">
        <f>IFERROR('Data Sheet'!K16,0)</f>
        <v>46112</v>
      </c>
      <c r="M3" s="12" t="s">
        <v>57</v>
      </c>
      <c r="N3" s="48" t="s">
        <v>159</v>
      </c>
      <c r="O3" s="48" t="s">
        <v>157</v>
      </c>
      <c r="P3" s="48" t="s">
        <v>158</v>
      </c>
    </row>
    <row r="5" spans="2:16" x14ac:dyDescent="0.35">
      <c r="B5" s="32" t="s">
        <v>132</v>
      </c>
      <c r="C5" s="33"/>
      <c r="D5" s="33">
        <f>IFERROR(HistoricalFS!D7,0)</f>
        <v>7.1859357095470644E-2</v>
      </c>
      <c r="E5" s="33">
        <f>IFERROR(HistoricalFS!E7,0)</f>
        <v>0.1059220706147137</v>
      </c>
      <c r="F5" s="33">
        <f>IFERROR(HistoricalFS!F7,0)</f>
        <v>1.2032561689137689E-2</v>
      </c>
      <c r="G5" s="33">
        <f>IFERROR(HistoricalFS!G7,0)</f>
        <v>0.18211296282331646</v>
      </c>
      <c r="H5" s="33">
        <f>IFERROR(HistoricalFS!H7,0)</f>
        <v>0.11520796121459553</v>
      </c>
      <c r="I5" s="33">
        <f>IFERROR(HistoricalFS!I7,0)</f>
        <v>0.15509285741524614</v>
      </c>
      <c r="J5" s="33">
        <f>IFERROR(HistoricalFS!J7,0)</f>
        <v>2.1723341036645749E-2</v>
      </c>
      <c r="K5" s="33">
        <f>IFERROR(HistoricalFS!K7,0)</f>
        <v>-9.1766834690448773E-3</v>
      </c>
      <c r="L5" s="33">
        <f>IFERROR(HistoricalFS!L7,0)</f>
        <v>5.1200104356900589E-2</v>
      </c>
      <c r="M5" s="32"/>
      <c r="N5" s="32"/>
      <c r="O5" s="45">
        <f>IFERROR(AVERAGE(D5:L5),0)</f>
        <v>7.8441614752997962E-2</v>
      </c>
      <c r="P5" s="45">
        <f>IFERROR(MEDIAN(C5:L5),0)</f>
        <v>7.1859357095470644E-2</v>
      </c>
    </row>
    <row r="6" spans="2:16" x14ac:dyDescent="0.35">
      <c r="B6" t="s">
        <v>126</v>
      </c>
      <c r="C6" s="34"/>
      <c r="D6" s="34">
        <f>IFERROR(HistoricalFS!D21/HistoricalFS!C21-1,0)</f>
        <v>0.11169891172914137</v>
      </c>
      <c r="E6" s="34">
        <f>IFERROR(HistoricalFS!E21/HistoricalFS!D21-1,0)</f>
        <v>0.21060503059143443</v>
      </c>
      <c r="F6" s="34">
        <f>IFERROR(HistoricalFS!F21/HistoricalFS!E21-1,0)</f>
        <v>8.3221024258760101E-2</v>
      </c>
      <c r="G6" s="34">
        <f>IFERROR(HistoricalFS!G21/HistoricalFS!F21-1,0)</f>
        <v>0.12141005702436503</v>
      </c>
      <c r="H6" s="34">
        <f>IFERROR(HistoricalFS!H21/HistoricalFS!G21-1,0)</f>
        <v>0.18463387573964507</v>
      </c>
      <c r="I6" s="34">
        <f>IFERROR(HistoricalFS!I21/HistoricalFS!H21-1,0)</f>
        <v>9.2406150003902177E-2</v>
      </c>
      <c r="J6" s="34">
        <f>IFERROR(HistoricalFS!J21/HistoricalFS!I21-1,0)</f>
        <v>4.572408373222836E-2</v>
      </c>
      <c r="K6" s="34">
        <f>IFERROR(HistoricalFS!K21/HistoricalFS!J21-1,0)</f>
        <v>-1.2912482065997155E-2</v>
      </c>
      <c r="L6" s="34">
        <f>IFERROR(HistoricalFS!L21/HistoricalFS!K21-1,0)</f>
        <v>-1.8480066445182741E-2</v>
      </c>
      <c r="O6" s="37">
        <f t="shared" ref="O6:O9" si="0">IFERROR(AVERAGE(D6:L6),0)</f>
        <v>9.0922953840921847E-2</v>
      </c>
      <c r="P6" s="37">
        <f t="shared" ref="P6:P41" si="1">IFERROR(MEDIAN(C6:L6),0)</f>
        <v>9.2406150003902177E-2</v>
      </c>
    </row>
    <row r="7" spans="2:16" x14ac:dyDescent="0.35">
      <c r="B7" t="s">
        <v>127</v>
      </c>
      <c r="C7" s="34"/>
      <c r="D7" s="34">
        <f>IFERROR((HistoricalFS!D21-HistoricalFS!D27)/(HistoricalFS!C21-HistoricalFS!C27)-1,0)</f>
        <v>0.10527166882276839</v>
      </c>
      <c r="E7" s="34">
        <f>IFERROR((HistoricalFS!E21-HistoricalFS!E27)/(HistoricalFS!D21-HistoricalFS!D27)-1,0)</f>
        <v>0.22004389173372352</v>
      </c>
      <c r="F7" s="34">
        <f>IFERROR((HistoricalFS!F21-HistoricalFS!F27)/(HistoricalFS!E21-HistoricalFS!E27)-1,0)</f>
        <v>3.6455210456889375E-2</v>
      </c>
      <c r="G7" s="34">
        <f>IFERROR((HistoricalFS!G21-HistoricalFS!G27)/(HistoricalFS!F21-HistoricalFS!F27)-1,0)</f>
        <v>0.1271549230591229</v>
      </c>
      <c r="H7" s="34">
        <f>IFERROR((HistoricalFS!H21-HistoricalFS!H27)/(HistoricalFS!G21-HistoricalFS!G27)-1,0)</f>
        <v>0.20324368712789975</v>
      </c>
      <c r="I7" s="34">
        <f>IFERROR((HistoricalFS!I21-HistoricalFS!I27)/(HistoricalFS!H21-HistoricalFS!H27)-1,0)</f>
        <v>9.7082409145197168E-2</v>
      </c>
      <c r="J7" s="34">
        <f>IFERROR((HistoricalFS!J21-HistoricalFS!J27)/(HistoricalFS!I21-HistoricalFS!I27)-1,0)</f>
        <v>4.3623639191290753E-2</v>
      </c>
      <c r="K7" s="34">
        <f>IFERROR((HistoricalFS!K21-HistoricalFS!K27)/(HistoricalFS!J21-HistoricalFS!J27)-1,0)</f>
        <v>-1.683928172267346E-2</v>
      </c>
      <c r="L7" s="34">
        <f>IFERROR((HistoricalFS!L21-HistoricalFS!L27)/(HistoricalFS!K21-HistoricalFS!K27)-1,0)</f>
        <v>-2.6297840090943492E-2</v>
      </c>
      <c r="O7" s="37">
        <f t="shared" si="0"/>
        <v>8.7748700858141654E-2</v>
      </c>
      <c r="P7" s="37">
        <f t="shared" si="1"/>
        <v>9.7082409145197168E-2</v>
      </c>
    </row>
    <row r="8" spans="2:16" x14ac:dyDescent="0.35">
      <c r="B8" t="s">
        <v>128</v>
      </c>
      <c r="C8" s="34"/>
      <c r="D8" s="34">
        <f>IFERROR(HistoricalFS!D39/HistoricalFS!C39-1,0)</f>
        <v>6.3834240267894415E-2</v>
      </c>
      <c r="E8" s="34">
        <f>IFERROR(HistoricalFS!E39/HistoricalFS!D39-1,0)</f>
        <v>0.19693094629156005</v>
      </c>
      <c r="F8" s="34">
        <f>IFERROR(HistoricalFS!F39/HistoricalFS!E39-1,0)</f>
        <v>7.4950690335305659E-2</v>
      </c>
      <c r="G8" s="34">
        <f>IFERROR(HistoricalFS!G39/HistoricalFS!F39-1,0)</f>
        <v>9.9235474006116098E-2</v>
      </c>
      <c r="H8" s="34">
        <f>IFERROR(HistoricalFS!H39/HistoricalFS!G39-1,0)</f>
        <v>0.23076923076923084</v>
      </c>
      <c r="I8" s="34">
        <f>IFERROR(HistoricalFS!I39/HistoricalFS!H39-1,0)</f>
        <v>0.12940777576853524</v>
      </c>
      <c r="J8" s="34">
        <f>IFERROR(HistoricalFS!J39/HistoricalFS!I39-1,0)</f>
        <v>2.6718703092164509E-2</v>
      </c>
      <c r="K8" s="34">
        <f>IFERROR(HistoricalFS!K39/HistoricalFS!J39-1,0)</f>
        <v>1.5692007797270868E-2</v>
      </c>
      <c r="L8" s="34">
        <f>IFERROR(HistoricalFS!L39/HistoricalFS!K39-1,0)</f>
        <v>0.3627291046924479</v>
      </c>
      <c r="O8" s="37">
        <f t="shared" si="0"/>
        <v>0.13336313033561395</v>
      </c>
      <c r="P8" s="37">
        <f t="shared" si="1"/>
        <v>9.9235474006116098E-2</v>
      </c>
    </row>
    <row r="9" spans="2:16" x14ac:dyDescent="0.35">
      <c r="B9" s="35" t="s">
        <v>133</v>
      </c>
      <c r="C9" s="36"/>
      <c r="D9" s="36">
        <f>IFERROR(HistoricalFS!D47/HistoricalFS!C47-1,0)</f>
        <v>0.17636188224423521</v>
      </c>
      <c r="E9" s="36">
        <f>IFERROR(HistoricalFS!E47/HistoricalFS!D47-1,0)</f>
        <v>9.989836928904694E-2</v>
      </c>
      <c r="F9" s="36">
        <f>IFERROR(HistoricalFS!F47/HistoricalFS!E47-1,0)</f>
        <v>0.13631114358664265</v>
      </c>
      <c r="G9" s="36">
        <f>IFERROR(HistoricalFS!G47/HistoricalFS!F47-1,0)</f>
        <v>0.62387640449438186</v>
      </c>
      <c r="H9" s="36">
        <f>IFERROR(HistoricalFS!H47/HistoricalFS!G47-1,0)</f>
        <v>-0.16049382716049365</v>
      </c>
      <c r="I9" s="36">
        <f>IFERROR(HistoricalFS!I47/HistoricalFS!H47-1,0)</f>
        <v>0.14705882352941169</v>
      </c>
      <c r="J9" s="36">
        <f>IFERROR(HistoricalFS!J47/HistoricalFS!I47-1,0)</f>
        <v>7.6923076923076872E-2</v>
      </c>
      <c r="K9" s="36">
        <f>IFERROR(HistoricalFS!K47/HistoricalFS!J47-1,0)</f>
        <v>0.26190476190476186</v>
      </c>
      <c r="L9" s="36">
        <f>IFERROR(HistoricalFS!L47/HistoricalFS!K47-1,0)</f>
        <v>-0.2264150943396227</v>
      </c>
      <c r="M9" s="35"/>
      <c r="N9" s="35"/>
      <c r="O9" s="46">
        <f t="shared" si="0"/>
        <v>0.12615839338571563</v>
      </c>
      <c r="P9" s="46">
        <f t="shared" si="1"/>
        <v>0.13631114358664265</v>
      </c>
    </row>
    <row r="10" spans="2:16" x14ac:dyDescent="0.35">
      <c r="C10" s="30"/>
      <c r="D10" s="30"/>
      <c r="E10" s="30"/>
      <c r="F10" s="30"/>
      <c r="G10" s="30"/>
      <c r="H10" s="30"/>
      <c r="I10" s="30"/>
      <c r="J10" s="30"/>
      <c r="K10" s="30"/>
      <c r="L10" s="30"/>
      <c r="O10" s="37"/>
      <c r="P10" s="37"/>
    </row>
    <row r="11" spans="2:16" x14ac:dyDescent="0.35">
      <c r="B11" s="32" t="s">
        <v>130</v>
      </c>
      <c r="C11" s="33">
        <f>IFERROR(HistoricalFS!C13,0)</f>
        <v>0.49810023520897412</v>
      </c>
      <c r="D11" s="33">
        <f>IFERROR(HistoricalFS!D13,0)</f>
        <v>0.50490926993951324</v>
      </c>
      <c r="E11" s="33">
        <f>IFERROR(HistoricalFS!E13,0)</f>
        <v>0.51203256168913758</v>
      </c>
      <c r="F11" s="33">
        <f>IFERROR(HistoricalFS!F13,0)</f>
        <v>0.52215770555262297</v>
      </c>
      <c r="G11" s="33">
        <f>IFERROR(HistoricalFS!G13,0)</f>
        <v>0.49491792123841116</v>
      </c>
      <c r="H11" s="33">
        <f>IFERROR(HistoricalFS!H13,0)</f>
        <v>0.49347900697860658</v>
      </c>
      <c r="I11" s="33">
        <f>IFERROR(HistoricalFS!I13,0)</f>
        <v>0.46059755694948828</v>
      </c>
      <c r="J11" s="33">
        <f>IFERROR(HistoricalFS!J13,0)</f>
        <v>0.50458834173452238</v>
      </c>
      <c r="K11" s="33">
        <f>IFERROR(HistoricalFS!K13,0)</f>
        <v>0.49750521784502999</v>
      </c>
      <c r="L11" s="33">
        <f>IFERROR(HistoricalFS!L13,0)</f>
        <v>0.48320096792206985</v>
      </c>
      <c r="M11" s="32"/>
      <c r="N11" s="32"/>
      <c r="O11" s="45">
        <f>IFERROR(AVERAGE(C11:L11),0)</f>
        <v>0.49714887850583767</v>
      </c>
      <c r="P11" s="45">
        <f t="shared" si="1"/>
        <v>0.49780272652700208</v>
      </c>
    </row>
    <row r="12" spans="2:16" x14ac:dyDescent="0.35">
      <c r="B12" t="s">
        <v>129</v>
      </c>
      <c r="C12" s="34">
        <f>IFERROR(HistoricalFS!C22,0)</f>
        <v>0.19950545805439962</v>
      </c>
      <c r="D12" s="34">
        <f>IFERROR(HistoricalFS!D22,0)</f>
        <v>0.20692080461386975</v>
      </c>
      <c r="E12" s="34">
        <f>IFERROR(HistoricalFS!E22,0)</f>
        <v>0.22650725006359704</v>
      </c>
      <c r="F12" s="34">
        <f>IFERROR(HistoricalFS!F22,0)</f>
        <v>0.24244023829273811</v>
      </c>
      <c r="G12" s="34">
        <f>IFERROR(HistoricalFS!G22,0)</f>
        <v>0.22999064387173598</v>
      </c>
      <c r="H12" s="34">
        <f>IFERROR(HistoricalFS!H22,0)</f>
        <v>0.24430843152957327</v>
      </c>
      <c r="I12" s="34">
        <f>IFERROR(HistoricalFS!I22,0)</f>
        <v>0.23104985143611753</v>
      </c>
      <c r="J12" s="34">
        <f>IFERROR(HistoricalFS!J22,0)</f>
        <v>0.23647731678945327</v>
      </c>
      <c r="K12" s="34">
        <f>IFERROR(HistoricalFS!K22,0)</f>
        <v>0.23558570310461779</v>
      </c>
      <c r="L12" s="34">
        <f>IFERROR(HistoricalFS!L22,0)</f>
        <v>0.21996959731960042</v>
      </c>
      <c r="O12" s="37">
        <f t="shared" ref="O12:O15" si="2">IFERROR(AVERAGE(C12:L12),0)</f>
        <v>0.2272755295075703</v>
      </c>
      <c r="P12" s="37">
        <f t="shared" si="1"/>
        <v>0.23052024765392676</v>
      </c>
    </row>
    <row r="13" spans="2:16" x14ac:dyDescent="0.35">
      <c r="B13" t="s">
        <v>131</v>
      </c>
      <c r="C13" s="34">
        <f>IFERROR((HistoricalFS!C21-HistoricalFS!C27)/HistoricalFS!C6,0)</f>
        <v>0.18647849948736506</v>
      </c>
      <c r="D13" s="34">
        <f>IFERROR((HistoricalFS!D21-HistoricalFS!D27)/HistoricalFS!D6,0)</f>
        <v>0.19229146152764101</v>
      </c>
      <c r="E13" s="34">
        <f>IFERROR((HistoricalFS!E21-HistoricalFS!E27)/HistoricalFS!E6,0)</f>
        <v>0.21213431696769269</v>
      </c>
      <c r="F13" s="34">
        <f>IFERROR((HistoricalFS!F21-HistoricalFS!F27)/HistoricalFS!F6,0)</f>
        <v>0.21725360078425457</v>
      </c>
      <c r="G13" s="34">
        <f>IFERROR((HistoricalFS!G21-HistoricalFS!G27)/HistoricalFS!G6,0)</f>
        <v>0.20715318533639535</v>
      </c>
      <c r="H13" s="34">
        <f>IFERROR((HistoricalFS!H21-HistoricalFS!H27)/HistoricalFS!H6,0)</f>
        <v>0.22350608244670708</v>
      </c>
      <c r="I13" s="34">
        <f>IFERROR((HistoricalFS!I21-HistoricalFS!I27)/HistoricalFS!I6,0)</f>
        <v>0.21228128095080884</v>
      </c>
      <c r="J13" s="34">
        <f>IFERROR((HistoricalFS!J21-HistoricalFS!J27)/HistoricalFS!J6,0)</f>
        <v>0.21683145922192065</v>
      </c>
      <c r="K13" s="34">
        <f>IFERROR((HistoricalFS!K21-HistoricalFS!K27)/HistoricalFS!K6,0)</f>
        <v>0.21515457865901383</v>
      </c>
      <c r="L13" s="34">
        <f>IFERROR((HistoricalFS!L21-HistoricalFS!L27)/HistoricalFS!L6,0)</f>
        <v>0.19929267233356085</v>
      </c>
      <c r="O13" s="37">
        <f t="shared" si="2"/>
        <v>0.20823771377153602</v>
      </c>
      <c r="P13" s="37">
        <f t="shared" si="1"/>
        <v>0.21220779895925077</v>
      </c>
    </row>
    <row r="14" spans="2:16" x14ac:dyDescent="0.35">
      <c r="B14" t="s">
        <v>155</v>
      </c>
      <c r="C14" s="34">
        <f>IFERROR(HistoricalFS!C34,0)</f>
        <v>0.20369700259332971</v>
      </c>
      <c r="D14" s="34">
        <f>IFERROR(HistoricalFS!D34,0)</f>
        <v>0.20149106766071179</v>
      </c>
      <c r="E14" s="34">
        <f>IFERROR(HistoricalFS!E34,0)</f>
        <v>0.21948613584329688</v>
      </c>
      <c r="F14" s="34">
        <f>IFERROR(HistoricalFS!F34,0)</f>
        <v>0.22494532840660583</v>
      </c>
      <c r="G14" s="34">
        <f>IFERROR(HistoricalFS!G34,0)</f>
        <v>0.20828017351365144</v>
      </c>
      <c r="H14" s="34">
        <f>IFERROR(HistoricalFS!H34,0)</f>
        <v>0.22566067955611485</v>
      </c>
      <c r="I14" s="34">
        <f>IFERROR(HistoricalFS!I34,0)</f>
        <v>0.2177946517002311</v>
      </c>
      <c r="J14" s="34">
        <f>IFERROR(HistoricalFS!J34,0)</f>
        <v>0.22463487139718238</v>
      </c>
      <c r="K14" s="34">
        <f>IFERROR(HistoricalFS!K34,0)</f>
        <v>0.23103639446908428</v>
      </c>
      <c r="L14" s="34">
        <f>IFERROR(HistoricalFS!L34,0)</f>
        <v>0.2692963951107526</v>
      </c>
      <c r="O14" s="37">
        <f t="shared" si="2"/>
        <v>0.22263227002509609</v>
      </c>
      <c r="P14" s="37">
        <f t="shared" si="1"/>
        <v>0.22206050362023963</v>
      </c>
    </row>
    <row r="15" spans="2:16" x14ac:dyDescent="0.35">
      <c r="B15" s="35" t="s">
        <v>134</v>
      </c>
      <c r="C15" s="36">
        <f>IFERROR(HistoricalFS!C40,0)</f>
        <v>0.14408057415113684</v>
      </c>
      <c r="D15" s="36">
        <f>IFERROR(HistoricalFS!D40,0)</f>
        <v>0.14300182866788577</v>
      </c>
      <c r="E15" s="36">
        <f>IFERROR(HistoricalFS!E40,0)</f>
        <v>0.15476977868226915</v>
      </c>
      <c r="F15" s="36">
        <f>IFERROR(HistoricalFS!F40,0)</f>
        <v>0.1643918256541739</v>
      </c>
      <c r="G15" s="36">
        <f>IFERROR(HistoricalFS!G40,0)</f>
        <v>0.1528663774772476</v>
      </c>
      <c r="H15" s="36">
        <f>IFERROR(HistoricalFS!H40,0)</f>
        <v>0.1687068603897342</v>
      </c>
      <c r="I15" s="36">
        <f>IFERROR(HistoricalFS!I40,0)</f>
        <v>0.16495543083525915</v>
      </c>
      <c r="J15" s="36">
        <f>IFERROR(HistoricalFS!J40,0)</f>
        <v>0.16576192322605662</v>
      </c>
      <c r="K15" s="36">
        <f>IFERROR(HistoricalFS!K40,0)</f>
        <v>0.16992238455517872</v>
      </c>
      <c r="L15" s="36">
        <f>IFERROR(HistoricalFS!L40,0)</f>
        <v>0.22027982875224919</v>
      </c>
      <c r="M15" s="35"/>
      <c r="N15" s="35"/>
      <c r="O15" s="46">
        <f t="shared" si="2"/>
        <v>0.16487368123911911</v>
      </c>
      <c r="P15" s="46">
        <f t="shared" si="1"/>
        <v>0.16467362824471654</v>
      </c>
    </row>
    <row r="16" spans="2:16" x14ac:dyDescent="0.35">
      <c r="C16" s="30"/>
      <c r="D16" s="30"/>
      <c r="E16" s="30"/>
      <c r="F16" s="30"/>
      <c r="G16" s="30"/>
      <c r="H16" s="30"/>
      <c r="I16" s="30"/>
      <c r="J16" s="30"/>
      <c r="K16" s="30"/>
      <c r="L16" s="30"/>
      <c r="O16" s="37"/>
      <c r="P16" s="37"/>
    </row>
    <row r="17" spans="2:16" x14ac:dyDescent="0.35">
      <c r="B17" s="32" t="s">
        <v>135</v>
      </c>
      <c r="C17" s="33">
        <f>IFERROR(HistoricalFS!C19,0)</f>
        <v>0.24603461793619202</v>
      </c>
      <c r="D17" s="33">
        <f>IFERROR(HistoricalFS!D19,0)</f>
        <v>0.24566043044028696</v>
      </c>
      <c r="E17" s="33">
        <f>IFERROR(HistoricalFS!E19,0)</f>
        <v>0.23782752480284916</v>
      </c>
      <c r="F17" s="33">
        <f>IFERROR(HistoricalFS!F19,0)</f>
        <v>0.23396928336224015</v>
      </c>
      <c r="G17" s="33">
        <f>IFERROR(HistoricalFS!G19,0)</f>
        <v>0.21478693544271499</v>
      </c>
      <c r="H17" s="33">
        <f>IFERROR(HistoricalFS!H19,0)</f>
        <v>0.20064447240971667</v>
      </c>
      <c r="I17" s="33">
        <f>IFERROR(HistoricalFS!I19,0)</f>
        <v>0.18243644767249917</v>
      </c>
      <c r="J17" s="33">
        <f>IFERROR(HistoricalFS!J19,0)</f>
        <v>0.21949722114514669</v>
      </c>
      <c r="K17" s="33">
        <f>IFERROR(HistoricalFS!K19,0)</f>
        <v>0.21378489433863815</v>
      </c>
      <c r="L17" s="33">
        <f>IFERROR(HistoricalFS!L19,0)</f>
        <v>0.21398213066947944</v>
      </c>
      <c r="M17" s="32"/>
      <c r="N17" s="32"/>
      <c r="O17" s="45">
        <f t="shared" ref="O17:O25" si="3">IFERROR(AVERAGE(C17:L17),0)</f>
        <v>0.22086239582197634</v>
      </c>
      <c r="P17" s="45">
        <f t="shared" si="1"/>
        <v>0.21714207829393084</v>
      </c>
    </row>
    <row r="18" spans="2:16" x14ac:dyDescent="0.35">
      <c r="B18" t="s">
        <v>136</v>
      </c>
      <c r="C18" s="34">
        <f>IFERROR(HistoricalFS!C28,0)</f>
        <v>1.3026958567034558E-2</v>
      </c>
      <c r="D18" s="34">
        <f>IFERROR(HistoricalFS!D28,0)</f>
        <v>1.4629343086228723E-2</v>
      </c>
      <c r="E18" s="34">
        <f>IFERROR(HistoricalFS!E28,0)</f>
        <v>1.437293309590435E-2</v>
      </c>
      <c r="F18" s="34">
        <f>IFERROR(HistoricalFS!F28,0)</f>
        <v>2.5186637508483524E-2</v>
      </c>
      <c r="G18" s="34">
        <f>IFERROR(HistoricalFS!G28,0)</f>
        <v>2.2837458535340648E-2</v>
      </c>
      <c r="H18" s="34">
        <f>IFERROR(HistoricalFS!H28,0)</f>
        <v>2.0802349082866187E-2</v>
      </c>
      <c r="I18" s="34">
        <f>IFERROR(HistoricalFS!I28,0)</f>
        <v>1.8768570485308684E-2</v>
      </c>
      <c r="J18" s="34">
        <f>IFERROR(HistoricalFS!J28,0)</f>
        <v>1.9645857567532635E-2</v>
      </c>
      <c r="K18" s="34">
        <f>IFERROR(HistoricalFS!K28,0)</f>
        <v>2.0431124445603965E-2</v>
      </c>
      <c r="L18" s="34">
        <f>IFERROR(HistoricalFS!L28,0)</f>
        <v>2.0676924986039586E-2</v>
      </c>
      <c r="O18" s="37">
        <f t="shared" si="3"/>
        <v>1.9037815736034289E-2</v>
      </c>
      <c r="P18" s="37">
        <f t="shared" si="1"/>
        <v>2.00384910065683E-2</v>
      </c>
    </row>
    <row r="19" spans="2:16" x14ac:dyDescent="0.35">
      <c r="B19" s="35" t="s">
        <v>137</v>
      </c>
      <c r="C19" s="36">
        <f>C13</f>
        <v>0.18647849948736506</v>
      </c>
      <c r="D19" s="36">
        <f t="shared" ref="D19:L19" si="4">D13</f>
        <v>0.19229146152764101</v>
      </c>
      <c r="E19" s="36">
        <f t="shared" si="4"/>
        <v>0.21213431696769269</v>
      </c>
      <c r="F19" s="36">
        <f t="shared" si="4"/>
        <v>0.21725360078425457</v>
      </c>
      <c r="G19" s="36">
        <f t="shared" si="4"/>
        <v>0.20715318533639535</v>
      </c>
      <c r="H19" s="36">
        <f t="shared" si="4"/>
        <v>0.22350608244670708</v>
      </c>
      <c r="I19" s="36">
        <f t="shared" si="4"/>
        <v>0.21228128095080884</v>
      </c>
      <c r="J19" s="36">
        <f t="shared" si="4"/>
        <v>0.21683145922192065</v>
      </c>
      <c r="K19" s="36">
        <f t="shared" si="4"/>
        <v>0.21515457865901383</v>
      </c>
      <c r="L19" s="36">
        <f t="shared" si="4"/>
        <v>0.19929267233356085</v>
      </c>
      <c r="M19" s="35"/>
      <c r="N19" s="35"/>
      <c r="O19" s="46">
        <f t="shared" si="3"/>
        <v>0.20823771377153602</v>
      </c>
      <c r="P19" s="46">
        <f t="shared" si="1"/>
        <v>0.21220779895925077</v>
      </c>
    </row>
    <row r="20" spans="2:16" x14ac:dyDescent="0.35">
      <c r="C20" s="30"/>
      <c r="D20" s="30"/>
      <c r="E20" s="30"/>
      <c r="F20" s="30"/>
      <c r="G20" s="30"/>
      <c r="H20" s="30"/>
      <c r="I20" s="30"/>
      <c r="J20" s="30"/>
      <c r="K20" s="30"/>
      <c r="L20" s="30"/>
      <c r="O20" s="44"/>
      <c r="P20" s="44"/>
    </row>
    <row r="21" spans="2:16" x14ac:dyDescent="0.35">
      <c r="B21" s="32" t="s">
        <v>138</v>
      </c>
      <c r="C21" s="33">
        <f>IFERROR((HistoricalFS!C21-HistoricalFS!C27)/(SUM(HistoricalFS!C54:C56)),0)</f>
        <v>0.88078621279020086</v>
      </c>
      <c r="D21" s="33">
        <f>IFERROR((HistoricalFS!D21-HistoricalFS!D27)/(SUM(HistoricalFS!D54:D56)),0)</f>
        <v>0.93874467792885596</v>
      </c>
      <c r="E21" s="33">
        <f>IFERROR((HistoricalFS!E21-HistoricalFS!E27)/(SUM(HistoricalFS!E54:E56)),0)</f>
        <v>1.0468240020085362</v>
      </c>
      <c r="F21" s="33">
        <f>IFERROR((HistoricalFS!F21-HistoricalFS!F27)/(SUM(HistoricalFS!F54:F56)),0)</f>
        <v>1.050309879693766</v>
      </c>
      <c r="G21" s="33">
        <f>IFERROR((HistoricalFS!G21-HistoricalFS!G27)/(SUM(HistoricalFS!G54:G56)),0)</f>
        <v>0.20434618450308345</v>
      </c>
      <c r="H21" s="33">
        <f>IFERROR((HistoricalFS!H21-HistoricalFS!H27)/(SUM(HistoricalFS!H54:H56)),0)</f>
        <v>0.23395337697589014</v>
      </c>
      <c r="I21" s="33">
        <f>IFERROR((HistoricalFS!I21-HistoricalFS!I27)/(SUM(HistoricalFS!I54:I56)),0)</f>
        <v>0.24959726723987347</v>
      </c>
      <c r="J21" s="33">
        <f>IFERROR((HistoricalFS!J21-HistoricalFS!J27)/(SUM(HistoricalFS!J54:J56)),0)</f>
        <v>0.25465826723843499</v>
      </c>
      <c r="K21" s="33">
        <f>IFERROR((HistoricalFS!K21-HistoricalFS!K27)/(SUM(HistoricalFS!K54:K56)),0)</f>
        <v>0.25847208619000978</v>
      </c>
      <c r="L21" s="33">
        <f>IFERROR((HistoricalFS!L21-HistoricalFS!L27)/(SUM(HistoricalFS!L54:L56)),0)</f>
        <v>0.25584961268096462</v>
      </c>
      <c r="M21" s="32"/>
      <c r="N21" s="32"/>
      <c r="O21" s="45">
        <f t="shared" si="3"/>
        <v>0.53735415672496156</v>
      </c>
      <c r="P21" s="45">
        <f t="shared" si="1"/>
        <v>0.25716084943548723</v>
      </c>
    </row>
    <row r="22" spans="2:16" x14ac:dyDescent="0.35">
      <c r="B22" t="s">
        <v>139</v>
      </c>
      <c r="C22" s="34">
        <f>HistoricalFS!C50</f>
        <v>0.23147760569275855</v>
      </c>
      <c r="D22" s="34">
        <f>HistoricalFS!D50</f>
        <v>0.1501082038166438</v>
      </c>
      <c r="E22" s="34">
        <f>HistoricalFS!E50</f>
        <v>0.21893491124260356</v>
      </c>
      <c r="F22" s="34">
        <f>HistoricalFS!F50</f>
        <v>0.17431192660550454</v>
      </c>
      <c r="G22" s="34">
        <f>HistoricalFS!G50</f>
        <v>0</v>
      </c>
      <c r="H22" s="34">
        <f>HistoricalFS!H50</f>
        <v>9.6971066907775683E-2</v>
      </c>
      <c r="I22" s="34">
        <f>HistoricalFS!I50</f>
        <v>8.2858000600420256E-2</v>
      </c>
      <c r="J22" s="34">
        <f>HistoricalFS!J50</f>
        <v>3.801169590643283E-2</v>
      </c>
      <c r="K22" s="34">
        <f>HistoricalFS!K50</f>
        <v>0</v>
      </c>
      <c r="L22" s="34">
        <f>HistoricalFS!L50</f>
        <v>0.32152665305260197</v>
      </c>
      <c r="O22" s="37">
        <f t="shared" si="3"/>
        <v>0.13142000638247411</v>
      </c>
      <c r="P22" s="37">
        <f t="shared" si="1"/>
        <v>0.12353963536220974</v>
      </c>
    </row>
    <row r="23" spans="2:16" x14ac:dyDescent="0.35">
      <c r="B23" t="s">
        <v>140</v>
      </c>
      <c r="C23" s="34">
        <f>IFERROR(HistoricalFS!C39/SUM(HistoricalFS!C54:C55),0)</f>
        <v>0.70848161328588377</v>
      </c>
      <c r="D23" s="34">
        <f>IFERROR(HistoricalFS!D39/SUM(HistoricalFS!D54:D55),0)</f>
        <v>0.69811839033099854</v>
      </c>
      <c r="E23" s="34">
        <f>IFERROR(HistoricalFS!E39/SUM(HistoricalFS!E54:E55),0)</f>
        <v>0.77335706114147706</v>
      </c>
      <c r="F23" s="34">
        <f>IFERROR(HistoricalFS!F39/SUM(HistoricalFS!F54:F55),0)</f>
        <v>0.79475027342325921</v>
      </c>
      <c r="G23" s="34">
        <f>IFERROR(HistoricalFS!G39/SUM(HistoricalFS!G54:G55),0)</f>
        <v>0.15079498259009103</v>
      </c>
      <c r="H23" s="34">
        <f>IFERROR(HistoricalFS!H39/SUM(HistoricalFS!H54:H55),0)</f>
        <v>0.18034691506491918</v>
      </c>
      <c r="I23" s="34">
        <f>IFERROR(HistoricalFS!I39/SUM(HistoricalFS!I54:I55),0)</f>
        <v>0.19865219465648856</v>
      </c>
      <c r="J23" s="34">
        <f>IFERROR(HistoricalFS!J39/SUM(HistoricalFS!J54:J55),0)</f>
        <v>0.2003201999297122</v>
      </c>
      <c r="K23" s="34">
        <f>IFERROR(HistoricalFS!K39/SUM(HistoricalFS!K54:K55),0)</f>
        <v>0.21094287680660703</v>
      </c>
      <c r="L23" s="34">
        <f>IFERROR(HistoricalFS!L39/SUM(HistoricalFS!L54:L55),0)</f>
        <v>0.29136830874658898</v>
      </c>
      <c r="O23" s="37">
        <f t="shared" si="3"/>
        <v>0.42071328159760257</v>
      </c>
      <c r="P23" s="37">
        <f t="shared" si="1"/>
        <v>0.25115559277659799</v>
      </c>
    </row>
    <row r="24" spans="2:16" x14ac:dyDescent="0.35">
      <c r="B24" t="s">
        <v>141</v>
      </c>
      <c r="C24" s="37">
        <f>IFERROR(C22*C23,0)</f>
        <v>0.16399762752075925</v>
      </c>
      <c r="D24" s="37">
        <f t="shared" ref="D24:L24" si="5">IFERROR(D22*D23,0)</f>
        <v>0.10479329762395283</v>
      </c>
      <c r="E24" s="37">
        <f t="shared" si="5"/>
        <v>0.16931485953985001</v>
      </c>
      <c r="F24" s="37">
        <f t="shared" si="5"/>
        <v>0.13853445133065984</v>
      </c>
      <c r="G24" s="37">
        <f t="shared" si="5"/>
        <v>0</v>
      </c>
      <c r="H24" s="37">
        <f t="shared" si="5"/>
        <v>1.7488432767371217E-2</v>
      </c>
      <c r="I24" s="37">
        <f t="shared" si="5"/>
        <v>1.645992366412213E-2</v>
      </c>
      <c r="J24" s="37">
        <f t="shared" si="5"/>
        <v>7.6145105236440471E-3</v>
      </c>
      <c r="K24" s="37">
        <f t="shared" si="5"/>
        <v>0</v>
      </c>
      <c r="L24" s="37">
        <f t="shared" si="5"/>
        <v>9.3682677116887922E-2</v>
      </c>
      <c r="O24" s="37">
        <f t="shared" si="3"/>
        <v>7.1188578008724718E-2</v>
      </c>
      <c r="P24" s="37">
        <f t="shared" si="1"/>
        <v>5.5585554942129564E-2</v>
      </c>
    </row>
    <row r="25" spans="2:16" x14ac:dyDescent="0.35">
      <c r="B25" s="35" t="s">
        <v>142</v>
      </c>
      <c r="C25" s="38">
        <f>IFERROR((HistoricalFS!C21-HistoricalFS!C27)/HistoricalFS!C24,0)</f>
        <v>176.68571428571428</v>
      </c>
      <c r="D25" s="38">
        <f>IFERROR((HistoricalFS!D21-HistoricalFS!D27)/HistoricalFS!D24,0)</f>
        <v>262.88461538461536</v>
      </c>
      <c r="E25" s="38">
        <f>IFERROR((HistoricalFS!E21-HistoricalFS!E27)/HistoricalFS!E24,0)</f>
        <v>252.69696969696969</v>
      </c>
      <c r="F25" s="38">
        <f>IFERROR((HistoricalFS!F21-HistoricalFS!F27)/HistoricalFS!F24,0)</f>
        <v>73.245762711864401</v>
      </c>
      <c r="G25" s="38">
        <f>IFERROR((HistoricalFS!G21-HistoricalFS!G27)/HistoricalFS!G24,0)</f>
        <v>83.26495726495726</v>
      </c>
      <c r="H25" s="38">
        <f>IFERROR((HistoricalFS!H21-HistoricalFS!H27)/HistoricalFS!H24,0)</f>
        <v>110.58490566037736</v>
      </c>
      <c r="I25" s="38">
        <f>IFERROR((HistoricalFS!I21-HistoricalFS!I27)/HistoricalFS!I24,0)</f>
        <v>112.80701754385964</v>
      </c>
      <c r="J25" s="38">
        <f>IFERROR((HistoricalFS!J21-HistoricalFS!J27)/HistoricalFS!J24,0)</f>
        <v>40.182634730538922</v>
      </c>
      <c r="K25" s="38">
        <f>IFERROR((HistoricalFS!K21-HistoricalFS!K27)/HistoricalFS!K24,0)</f>
        <v>34.632545931758528</v>
      </c>
      <c r="L25" s="38">
        <f>IFERROR((HistoricalFS!L21-HistoricalFS!L27)/HistoricalFS!L24,0)</f>
        <v>31.336585365853658</v>
      </c>
      <c r="M25" s="35"/>
      <c r="N25" s="35"/>
      <c r="O25" s="38">
        <f t="shared" si="3"/>
        <v>117.83217085765091</v>
      </c>
      <c r="P25" s="38">
        <f t="shared" si="1"/>
        <v>96.924931462667303</v>
      </c>
    </row>
    <row r="26" spans="2:16" x14ac:dyDescent="0.35">
      <c r="C26" s="30"/>
      <c r="D26" s="30"/>
      <c r="E26" s="30"/>
      <c r="F26" s="30"/>
      <c r="G26" s="30"/>
      <c r="H26" s="30"/>
      <c r="I26" s="30"/>
      <c r="J26" s="30"/>
      <c r="K26" s="30"/>
      <c r="L26" s="30"/>
      <c r="P26" s="44"/>
    </row>
    <row r="27" spans="2:16" x14ac:dyDescent="0.35">
      <c r="B27" s="32" t="s">
        <v>143</v>
      </c>
      <c r="C27" s="39">
        <f>IFERROR(HistoricalFS!C6/HistoricalFS!C66,0)</f>
        <v>30.56405529953917</v>
      </c>
      <c r="D27" s="39">
        <f>IFERROR(HistoricalFS!D6/HistoricalFS!D66,0)</f>
        <v>27.133587786259543</v>
      </c>
      <c r="E27" s="39">
        <f>IFERROR(HistoricalFS!E6/HistoricalFS!E66,0)</f>
        <v>21.646475770925111</v>
      </c>
      <c r="F27" s="39">
        <f>IFERROR(HistoricalFS!F6/HistoricalFS!F66,0)</f>
        <v>34.624020887728463</v>
      </c>
      <c r="G27" s="39">
        <f>IFERROR(HistoricalFS!G6/HistoricalFS!G66,0)</f>
        <v>26.750853242320819</v>
      </c>
      <c r="H27" s="39">
        <f>IFERROR(HistoricalFS!H6/HistoricalFS!H66,0)</f>
        <v>23.455277280858677</v>
      </c>
      <c r="I27" s="39">
        <f>IFERROR(HistoricalFS!I6/HistoricalFS!I66,0)</f>
        <v>19.67521922702176</v>
      </c>
      <c r="J27" s="39">
        <f>IFERROR(HistoricalFS!J6/HistoricalFS!J66,0)</f>
        <v>20.652652652652652</v>
      </c>
      <c r="K27" s="39">
        <f>IFERROR(HistoricalFS!K6/HistoricalFS!K66,0)</f>
        <v>16.058654097931395</v>
      </c>
      <c r="L27" s="39">
        <f>IFERROR(HistoricalFS!L6/HistoricalFS!L66,0)</f>
        <v>19.079017460787217</v>
      </c>
      <c r="M27" s="32"/>
      <c r="N27" s="32"/>
      <c r="O27" s="39">
        <f t="shared" ref="O27:O31" si="6">IFERROR(AVERAGE(C27:L27),0)</f>
        <v>23.963981370602479</v>
      </c>
      <c r="P27" s="39">
        <f t="shared" si="1"/>
        <v>22.550876525891894</v>
      </c>
    </row>
    <row r="28" spans="2:16" x14ac:dyDescent="0.35">
      <c r="B28" t="s">
        <v>144</v>
      </c>
      <c r="C28" s="31">
        <f>IFERROR(HistoricalFS!C9/HistoricalFS!C57,0)</f>
        <v>1.9164075993091536</v>
      </c>
      <c r="D28" s="31">
        <f>IFERROR(HistoricalFS!D9/HistoricalFS!D57,0)</f>
        <v>1.6631698327190247</v>
      </c>
      <c r="E28" s="31">
        <f>IFERROR(HistoricalFS!E9/HistoricalFS!E57,0)</f>
        <v>1.7989308824908563</v>
      </c>
      <c r="F28" s="31">
        <f>IFERROR(HistoricalFS!F9/HistoricalFS!F57,0)</f>
        <v>1.5942636699094264</v>
      </c>
      <c r="G28" s="31">
        <f>IFERROR(HistoricalFS!G9/HistoricalFS!G57,0)</f>
        <v>1.1275515047944555</v>
      </c>
      <c r="H28" s="31">
        <f>IFERROR(HistoricalFS!H9/HistoricalFS!H57,0)</f>
        <v>1.3020782276247427</v>
      </c>
      <c r="I28" s="31">
        <f>IFERROR(HistoricalFS!I9/HistoricalFS!I57,0)</f>
        <v>1.5160527048343695</v>
      </c>
      <c r="J28" s="31">
        <f>IFERROR(HistoricalFS!J9/HistoricalFS!J57,0)</f>
        <v>1.1891263039516036</v>
      </c>
      <c r="K28" s="31">
        <f>IFERROR(HistoricalFS!K9/HistoricalFS!K57,0)</f>
        <v>1.0695519383611565</v>
      </c>
      <c r="L28" s="31">
        <f>IFERROR(HistoricalFS!L9/HistoricalFS!L57,0)</f>
        <v>1.1285864299989838</v>
      </c>
      <c r="O28" s="31">
        <f t="shared" si="6"/>
        <v>1.4305719093993772</v>
      </c>
      <c r="P28" s="31">
        <f t="shared" si="1"/>
        <v>1.4090654662295561</v>
      </c>
    </row>
    <row r="29" spans="2:16" x14ac:dyDescent="0.35">
      <c r="B29" t="s">
        <v>145</v>
      </c>
      <c r="C29" s="31">
        <f>IFERROR(HistoricalFS!C9/HistoricalFS!C67,0)</f>
        <v>6.550177095631641</v>
      </c>
      <c r="D29" s="31">
        <f>IFERROR(HistoricalFS!D9/HistoricalFS!D67,0)</f>
        <v>7.0027855153203342</v>
      </c>
      <c r="E29" s="31">
        <f>IFERROR(HistoricalFS!E9/HistoricalFS!E67,0)</f>
        <v>7.4522144522144522</v>
      </c>
      <c r="F29" s="31">
        <f>IFERROR(HistoricalFS!F9/HistoricalFS!F67,0)</f>
        <v>6.8702565955908925</v>
      </c>
      <c r="G29" s="31">
        <f>IFERROR(HistoricalFS!G9/HistoricalFS!G67,0)</f>
        <v>6.6367700474993017</v>
      </c>
      <c r="H29" s="31">
        <f>IFERROR(HistoricalFS!H9/HistoricalFS!H67,0)</f>
        <v>6.485595703125</v>
      </c>
      <c r="I29" s="31">
        <f>IFERROR(HistoricalFS!I9/HistoricalFS!I67,0)</f>
        <v>7.6868972006586684</v>
      </c>
      <c r="J29" s="31">
        <f>IFERROR(HistoricalFS!J9/HistoricalFS!J67,0)</f>
        <v>7.624067628045748</v>
      </c>
      <c r="K29" s="31">
        <f>IFERROR(HistoricalFS!K9/HistoricalFS!K67,0)</f>
        <v>6.9800679501698752</v>
      </c>
      <c r="L29" s="31">
        <f>IFERROR(HistoricalFS!L9/HistoricalFS!L67,0)</f>
        <v>6.9569847567341823</v>
      </c>
      <c r="O29" s="31">
        <f t="shared" si="6"/>
        <v>7.0245816944990098</v>
      </c>
      <c r="P29" s="31">
        <f t="shared" si="1"/>
        <v>6.9685263534520292</v>
      </c>
    </row>
    <row r="30" spans="2:16" x14ac:dyDescent="0.35">
      <c r="B30" t="s">
        <v>146</v>
      </c>
      <c r="C30" s="31">
        <f>IFERROR(HistoricalFS!C6/HistoricalFS!C60,0)</f>
        <v>7.5044127630685677</v>
      </c>
      <c r="D30" s="31">
        <f>IFERROR(HistoricalFS!D6/AVERAGE(HistoricalFS!C60:D60),0)</f>
        <v>7.9456801162400801</v>
      </c>
      <c r="E30" s="31">
        <f>IFERROR(HistoricalFS!E6/AVERAGE(HistoricalFS!D60:E60),0)</f>
        <v>8.5058963539976205</v>
      </c>
      <c r="F30" s="31">
        <f>IFERROR(HistoricalFS!F6/AVERAGE(HistoricalFS!E60:F60),0)</f>
        <v>7.8051795173631549</v>
      </c>
      <c r="G30" s="31">
        <f>IFERROR(HistoricalFS!G6/AVERAGE(HistoricalFS!F60:G60),0)</f>
        <v>1.6523663961210078</v>
      </c>
      <c r="H30" s="31">
        <f>IFERROR(HistoricalFS!H6/AVERAGE(HistoricalFS!G60:H60),0)</f>
        <v>1.0192001243732753</v>
      </c>
      <c r="I30" s="31">
        <f>IFERROR(HistoricalFS!I6/AVERAGE(HistoricalFS!H60:I60),0)</f>
        <v>1.1633109619686801</v>
      </c>
      <c r="J30" s="31">
        <f>IFERROR(HistoricalFS!J6/AVERAGE(HistoricalFS!I60:J60),0)</f>
        <v>1.1632181315893331</v>
      </c>
      <c r="K30" s="31">
        <f>IFERROR(HistoricalFS!K6/AVERAGE(HistoricalFS!J60:K60),0)</f>
        <v>1.1348735647072974</v>
      </c>
      <c r="L30" s="31">
        <f>IFERROR(HistoricalFS!L6/AVERAGE(HistoricalFS!K60:L60),0)</f>
        <v>1.153655503162943</v>
      </c>
      <c r="O30" s="31">
        <f t="shared" si="6"/>
        <v>3.9047793432591966</v>
      </c>
      <c r="P30" s="31">
        <f t="shared" si="1"/>
        <v>1.4078386790448438</v>
      </c>
    </row>
    <row r="31" spans="2:16" x14ac:dyDescent="0.35">
      <c r="B31" s="35" t="s">
        <v>147</v>
      </c>
      <c r="C31" s="38">
        <f>IFERROR(HistoricalFS!C6/SUM(HistoricalFS!C54:C55),0)</f>
        <v>4.9172597864768681</v>
      </c>
      <c r="D31" s="38">
        <f>IFERROR(HistoricalFS!D6/SUM(HistoricalFS!D54:D55),0)</f>
        <v>4.8818843565444308</v>
      </c>
      <c r="E31" s="38">
        <f>IFERROR(HistoricalFS!E6/SUM(HistoricalFS!E54:E55),0)</f>
        <v>4.9968221685521801</v>
      </c>
      <c r="F31" s="38">
        <f>IFERROR(HistoricalFS!F6/SUM(HistoricalFS!F54:F55),0)</f>
        <v>4.8344877870944218</v>
      </c>
      <c r="G31" s="38">
        <f>IFERROR(HistoricalFS!G6/SUM(HistoricalFS!G54:G55),0)</f>
        <v>0.98644963711876499</v>
      </c>
      <c r="H31" s="38">
        <f>IFERROR(HistoricalFS!H6/SUM(HistoricalFS!H54:H55),0)</f>
        <v>1.0689957399971464</v>
      </c>
      <c r="I31" s="38">
        <f>IFERROR(HistoricalFS!I6/SUM(HistoricalFS!I54:I55),0)</f>
        <v>1.2042779898218829</v>
      </c>
      <c r="J31" s="38">
        <f>IFERROR(HistoricalFS!J6/SUM(HistoricalFS!J54:J55),0)</f>
        <v>1.2084813932601819</v>
      </c>
      <c r="K31" s="38">
        <f>IFERROR(HistoricalFS!K6/SUM(HistoricalFS!K54:K55),0)</f>
        <v>1.2414072304764989</v>
      </c>
      <c r="L31" s="38">
        <f>IFERROR(HistoricalFS!L6/SUM(HistoricalFS!L54:L55),0)</f>
        <v>1.3227189724860995</v>
      </c>
      <c r="M31" s="35"/>
      <c r="N31" s="35"/>
      <c r="O31" s="38">
        <f t="shared" si="6"/>
        <v>2.6662785061828473</v>
      </c>
      <c r="P31" s="38">
        <f t="shared" si="1"/>
        <v>1.2820631014812993</v>
      </c>
    </row>
    <row r="32" spans="2:16" x14ac:dyDescent="0.35">
      <c r="C32" s="31"/>
      <c r="D32" s="31"/>
      <c r="E32" s="31"/>
      <c r="F32" s="31"/>
      <c r="G32" s="31"/>
      <c r="H32" s="31"/>
      <c r="I32" s="31"/>
      <c r="J32" s="31"/>
      <c r="K32" s="31"/>
      <c r="L32" s="31"/>
      <c r="P32" s="44"/>
    </row>
    <row r="33" spans="2:16" x14ac:dyDescent="0.35">
      <c r="B33" s="40" t="s">
        <v>156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32"/>
      <c r="N33" s="32"/>
      <c r="O33" s="32"/>
      <c r="P33" s="47"/>
    </row>
    <row r="34" spans="2:16" x14ac:dyDescent="0.35">
      <c r="B34" t="s">
        <v>151</v>
      </c>
      <c r="C34" s="42">
        <f>IFERROR(365/C27,0)</f>
        <v>11.942132561365419</v>
      </c>
      <c r="D34" s="42">
        <f t="shared" ref="D34:L34" si="7">IFERROR(365/D27,0)</f>
        <v>13.4519623013082</v>
      </c>
      <c r="E34" s="42">
        <f t="shared" si="7"/>
        <v>16.861867209361485</v>
      </c>
      <c r="F34" s="42">
        <f t="shared" si="7"/>
        <v>10.541814342809742</v>
      </c>
      <c r="G34" s="42">
        <f t="shared" si="7"/>
        <v>13.644424598111764</v>
      </c>
      <c r="H34" s="42">
        <f t="shared" si="7"/>
        <v>15.561529954619989</v>
      </c>
      <c r="I34" s="42">
        <f t="shared" si="7"/>
        <v>18.551254539451964</v>
      </c>
      <c r="J34" s="42">
        <f t="shared" si="7"/>
        <v>17.673274525009695</v>
      </c>
      <c r="K34" s="42">
        <f t="shared" si="7"/>
        <v>22.729177537177147</v>
      </c>
      <c r="L34" s="42">
        <f t="shared" si="7"/>
        <v>19.13096419929267</v>
      </c>
      <c r="O34" s="42">
        <f t="shared" ref="O34:O37" si="8">IFERROR(AVERAGE(C34:L34),0)</f>
        <v>16.008840176850807</v>
      </c>
      <c r="P34" s="42">
        <f t="shared" si="1"/>
        <v>16.211698581990738</v>
      </c>
    </row>
    <row r="35" spans="2:16" x14ac:dyDescent="0.35">
      <c r="B35" t="s">
        <v>148</v>
      </c>
      <c r="C35" s="42">
        <f>IFERROR(365/C28,0)</f>
        <v>190.46052631578948</v>
      </c>
      <c r="D35" s="42">
        <f t="shared" ref="D35:L35" si="9">IFERROR(365/D28,0)</f>
        <v>219.46045005114217</v>
      </c>
      <c r="E35" s="42">
        <f t="shared" si="9"/>
        <v>202.89829006360128</v>
      </c>
      <c r="F35" s="42">
        <f t="shared" si="9"/>
        <v>228.94581799053131</v>
      </c>
      <c r="G35" s="42">
        <f t="shared" si="9"/>
        <v>323.71026817665137</v>
      </c>
      <c r="H35" s="42">
        <f t="shared" si="9"/>
        <v>280.32109919066443</v>
      </c>
      <c r="I35" s="42">
        <f t="shared" si="9"/>
        <v>240.756801419959</v>
      </c>
      <c r="J35" s="42">
        <f t="shared" si="9"/>
        <v>306.94804983042002</v>
      </c>
      <c r="K35" s="42">
        <f t="shared" si="9"/>
        <v>341.26439951974555</v>
      </c>
      <c r="L35" s="42">
        <f t="shared" si="9"/>
        <v>323.41342257706276</v>
      </c>
      <c r="O35" s="42">
        <f t="shared" si="8"/>
        <v>265.81791251355673</v>
      </c>
      <c r="P35" s="42">
        <f t="shared" si="1"/>
        <v>260.53895030531169</v>
      </c>
    </row>
    <row r="36" spans="2:16" x14ac:dyDescent="0.35">
      <c r="B36" t="s">
        <v>149</v>
      </c>
      <c r="C36" s="42">
        <f>IFERROR(365/C29,0)</f>
        <v>55.723684210526315</v>
      </c>
      <c r="D36" s="42">
        <f t="shared" ref="D36:L36" si="10">IFERROR(365/D29,0)</f>
        <v>52.122116149562451</v>
      </c>
      <c r="E36" s="42">
        <f t="shared" si="10"/>
        <v>48.978730059430717</v>
      </c>
      <c r="F36" s="42">
        <f t="shared" si="10"/>
        <v>53.127564439768541</v>
      </c>
      <c r="G36" s="42">
        <f t="shared" si="10"/>
        <v>54.996632004378391</v>
      </c>
      <c r="H36" s="42">
        <f t="shared" si="10"/>
        <v>56.278562017692451</v>
      </c>
      <c r="I36" s="42">
        <f t="shared" si="10"/>
        <v>47.483398108761513</v>
      </c>
      <c r="J36" s="42">
        <f t="shared" si="10"/>
        <v>47.874706496217065</v>
      </c>
      <c r="K36" s="42">
        <f t="shared" si="10"/>
        <v>52.291754551059483</v>
      </c>
      <c r="L36" s="42">
        <f t="shared" si="10"/>
        <v>52.465257976408445</v>
      </c>
      <c r="O36" s="42">
        <f t="shared" si="8"/>
        <v>52.134240601380533</v>
      </c>
      <c r="P36" s="42">
        <f t="shared" si="1"/>
        <v>52.378506263733968</v>
      </c>
    </row>
    <row r="37" spans="2:16" x14ac:dyDescent="0.35">
      <c r="B37" s="35" t="s">
        <v>150</v>
      </c>
      <c r="C37" s="43">
        <f>IFERROR(SUM(C36,C34)-C35,0)</f>
        <v>-122.79470954389774</v>
      </c>
      <c r="D37" s="43">
        <f t="shared" ref="D37:L37" si="11">IFERROR(SUM(D36,D34)-D35,0)</f>
        <v>-153.88637160027153</v>
      </c>
      <c r="E37" s="43">
        <f t="shared" si="11"/>
        <v>-137.05769279480907</v>
      </c>
      <c r="F37" s="43">
        <f t="shared" si="11"/>
        <v>-165.27643920795302</v>
      </c>
      <c r="G37" s="43">
        <f t="shared" si="11"/>
        <v>-255.06921157416122</v>
      </c>
      <c r="H37" s="43">
        <f t="shared" si="11"/>
        <v>-208.48100721835198</v>
      </c>
      <c r="I37" s="43">
        <f t="shared" si="11"/>
        <v>-174.72214877174554</v>
      </c>
      <c r="J37" s="43">
        <f t="shared" si="11"/>
        <v>-241.40006880919327</v>
      </c>
      <c r="K37" s="43">
        <f t="shared" si="11"/>
        <v>-266.24346743150892</v>
      </c>
      <c r="L37" s="43">
        <f t="shared" si="11"/>
        <v>-251.81720040136165</v>
      </c>
      <c r="M37" s="35"/>
      <c r="N37" s="35"/>
      <c r="O37" s="43">
        <f t="shared" si="8"/>
        <v>-197.67483173532537</v>
      </c>
      <c r="P37" s="43">
        <f t="shared" si="1"/>
        <v>-191.60157799504876</v>
      </c>
    </row>
    <row r="38" spans="2:16" x14ac:dyDescent="0.35">
      <c r="C38" s="30"/>
      <c r="D38" s="30"/>
      <c r="E38" s="30"/>
      <c r="F38" s="30"/>
      <c r="G38" s="30"/>
      <c r="H38" s="30"/>
      <c r="I38" s="30"/>
      <c r="J38" s="30"/>
      <c r="K38" s="30"/>
      <c r="L38" s="30"/>
      <c r="P38" s="44"/>
    </row>
    <row r="39" spans="2:16" x14ac:dyDescent="0.35">
      <c r="B39" s="32" t="s">
        <v>152</v>
      </c>
      <c r="C39" s="39">
        <f>IFERROR(HistoricalFS!C86/HistoricalFS!C6,0)</f>
        <v>0.14935769857065315</v>
      </c>
      <c r="D39" s="39">
        <f>IFERROR(HistoricalFS!D86/HistoricalFS!D6,0)</f>
        <v>0.16635251090167394</v>
      </c>
      <c r="E39" s="39">
        <f>IFERROR(HistoricalFS!E86/HistoricalFS!E6,0)</f>
        <v>0.14571355889086746</v>
      </c>
      <c r="F39" s="39">
        <f>IFERROR(HistoricalFS!F86/HistoricalFS!F6,0)</f>
        <v>0.18362114471005203</v>
      </c>
      <c r="G39" s="39">
        <f>IFERROR(HistoricalFS!G86/HistoricalFS!G6,0)</f>
        <v>0.19046100195628135</v>
      </c>
      <c r="H39" s="39">
        <f>IFERROR(HistoricalFS!H86/HistoricalFS!H6,0)</f>
        <v>0.17091865919231208</v>
      </c>
      <c r="I39" s="39">
        <f>IFERROR(HistoricalFS!I86/HistoricalFS!I6,0)</f>
        <v>0.15889732585011554</v>
      </c>
      <c r="J39" s="39">
        <f>IFERROR(HistoricalFS!J86/HistoricalFS!J6,0)</f>
        <v>0.24046788160785834</v>
      </c>
      <c r="K39" s="39">
        <f>IFERROR(HistoricalFS!K86/HistoricalFS!K6,0)</f>
        <v>0.18924471693190711</v>
      </c>
      <c r="L39" s="39">
        <f>IFERROR(HistoricalFS!L86/HistoricalFS!L6,0)</f>
        <v>0.16280945585406714</v>
      </c>
      <c r="M39" s="32"/>
      <c r="N39" s="32"/>
      <c r="O39" s="39">
        <f t="shared" ref="O39:O41" si="12">IFERROR(AVERAGE(C39:L39),0)</f>
        <v>0.17578439544657881</v>
      </c>
      <c r="P39" s="39">
        <f t="shared" si="1"/>
        <v>0.168635585046993</v>
      </c>
    </row>
    <row r="40" spans="2:16" x14ac:dyDescent="0.35">
      <c r="B40" t="s">
        <v>153</v>
      </c>
      <c r="C40" s="31">
        <f>IFERROR(HistoricalFS!C86/HistoricalFS!C71,0)</f>
        <v>0.31535718833566789</v>
      </c>
      <c r="D40" s="31">
        <f>IFERROR(HistoricalFS!D86/HistoricalFS!D71,0)</f>
        <v>0.33103795767551225</v>
      </c>
      <c r="E40" s="31">
        <f>IFERROR(HistoricalFS!E86/HistoricalFS!E71,0)</f>
        <v>0.30747758870578129</v>
      </c>
      <c r="F40" s="31">
        <f>IFERROR(HistoricalFS!F86/HistoricalFS!F71,0)</f>
        <v>0.36247705056319157</v>
      </c>
      <c r="G40" s="31">
        <f>IFERROR(HistoricalFS!G86/HistoricalFS!G71,0)</f>
        <v>0.1303025894675589</v>
      </c>
      <c r="H40" s="31">
        <f>IFERROR(HistoricalFS!H86/HistoricalFS!H71,0)</f>
        <v>0.12713811590502935</v>
      </c>
      <c r="I40" s="31">
        <f>IFERROR(HistoricalFS!I86/HistoricalFS!I71,0)</f>
        <v>0.13172407186939802</v>
      </c>
      <c r="J40" s="31">
        <f>IFERROR(HistoricalFS!J86/HistoricalFS!J71,0)</f>
        <v>0.18963166813184013</v>
      </c>
      <c r="K40" s="31">
        <f>IFERROR(HistoricalFS!K86/HistoricalFS!K71,0)</f>
        <v>0.14532386712244719</v>
      </c>
      <c r="L40" s="31">
        <f>IFERROR(HistoricalFS!L86/HistoricalFS!L71,0)</f>
        <v>0.13163109182572927</v>
      </c>
      <c r="O40" s="31">
        <f t="shared" si="12"/>
        <v>0.21721011896021558</v>
      </c>
      <c r="P40" s="31">
        <f t="shared" si="1"/>
        <v>0.16747776762714367</v>
      </c>
    </row>
    <row r="41" spans="2:16" x14ac:dyDescent="0.35">
      <c r="B41" s="35" t="s">
        <v>154</v>
      </c>
      <c r="C41" s="38">
        <f>IFERROR(HistoricalFS!C86/HistoricalFS!C56,0)</f>
        <v>17.880866425992778</v>
      </c>
      <c r="D41" s="38">
        <f>IFERROR(HistoricalFS!D86/HistoricalFS!D56,0)</f>
        <v>0</v>
      </c>
      <c r="E41" s="38">
        <f>IFERROR(HistoricalFS!E86/HistoricalFS!E56,0)</f>
        <v>57.858585858585862</v>
      </c>
      <c r="F41" s="38">
        <f>IFERROR(HistoricalFS!F86/HistoricalFS!F56,0)</f>
        <v>0</v>
      </c>
      <c r="G41" s="38">
        <f>IFERROR(HistoricalFS!G86/HistoricalFS!G56,0)</f>
        <v>0</v>
      </c>
      <c r="H41" s="38">
        <f>IFERROR(HistoricalFS!H86/HistoricalFS!H56,0)</f>
        <v>8.5944391179290509</v>
      </c>
      <c r="I41" s="38">
        <f>IFERROR(HistoricalFS!I86/HistoricalFS!I56,0)</f>
        <v>7.8966365873666939</v>
      </c>
      <c r="J41" s="38">
        <f>IFERROR(HistoricalFS!J86/HistoricalFS!J56,0)</f>
        <v>10.029649595687331</v>
      </c>
      <c r="K41" s="38">
        <f>IFERROR(HistoricalFS!K86/HistoricalFS!K56,0)</f>
        <v>7.0424757281553401</v>
      </c>
      <c r="L41" s="38">
        <f>IFERROR(HistoricalFS!L86/HistoricalFS!L56,0)</f>
        <v>7.1014884979702302</v>
      </c>
      <c r="M41" s="35"/>
      <c r="N41" s="35"/>
      <c r="O41" s="38">
        <f t="shared" si="12"/>
        <v>11.640414181168731</v>
      </c>
      <c r="P41" s="38">
        <f t="shared" si="1"/>
        <v>7.4990625426684616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xr2:uid="{F8D15203-33BD-41E2-882B-3F3024F17B3D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rgb="FFD00000"/>
          <x14:sparklines>
            <x14:sparkline>
              <xm:f>'Ratio Analysis'!C11:L11</xm:f>
              <xm:sqref>N11</xm:sqref>
            </x14:sparkline>
            <x14:sparkline>
              <xm:f>'Ratio Analysis'!C12:L12</xm:f>
              <xm:sqref>N12</xm:sqref>
            </x14:sparkline>
            <x14:sparkline>
              <xm:f>'Ratio Analysis'!C13:L13</xm:f>
              <xm:sqref>N13</xm:sqref>
            </x14:sparkline>
            <x14:sparkline>
              <xm:f>'Ratio Analysis'!C14:L14</xm:f>
              <xm:sqref>N14</xm:sqref>
            </x14:sparkline>
            <x14:sparkline>
              <xm:f>'Ratio Analysis'!C15:L15</xm:f>
              <xm:sqref>N15</xm:sqref>
            </x14:sparkline>
            <x14:sparkline>
              <xm:f>'Ratio Analysis'!C16:L16</xm:f>
              <xm:sqref>N16</xm:sqref>
            </x14:sparkline>
            <x14:sparkline>
              <xm:f>'Ratio Analysis'!C17:L17</xm:f>
              <xm:sqref>N17</xm:sqref>
            </x14:sparkline>
            <x14:sparkline>
              <xm:f>'Ratio Analysis'!C18:L18</xm:f>
              <xm:sqref>N18</xm:sqref>
            </x14:sparkline>
            <x14:sparkline>
              <xm:f>'Ratio Analysis'!C19:L19</xm:f>
              <xm:sqref>N19</xm:sqref>
            </x14:sparkline>
            <x14:sparkline>
              <xm:f>'Ratio Analysis'!C20:L20</xm:f>
              <xm:sqref>N20</xm:sqref>
            </x14:sparkline>
            <x14:sparkline>
              <xm:f>'Ratio Analysis'!C21:L21</xm:f>
              <xm:sqref>N21</xm:sqref>
            </x14:sparkline>
            <x14:sparkline>
              <xm:f>'Ratio Analysis'!C22:L22</xm:f>
              <xm:sqref>N22</xm:sqref>
            </x14:sparkline>
            <x14:sparkline>
              <xm:f>'Ratio Analysis'!C23:L23</xm:f>
              <xm:sqref>N23</xm:sqref>
            </x14:sparkline>
            <x14:sparkline>
              <xm:f>'Ratio Analysis'!C24:L24</xm:f>
              <xm:sqref>N24</xm:sqref>
            </x14:sparkline>
            <x14:sparkline>
              <xm:f>'Ratio Analysis'!C25:L25</xm:f>
              <xm:sqref>N25</xm:sqref>
            </x14:sparkline>
            <x14:sparkline>
              <xm:f>'Ratio Analysis'!C26:L26</xm:f>
              <xm:sqref>N26</xm:sqref>
            </x14:sparkline>
            <x14:sparkline>
              <xm:f>'Ratio Analysis'!C27:L27</xm:f>
              <xm:sqref>N27</xm:sqref>
            </x14:sparkline>
            <x14:sparkline>
              <xm:f>'Ratio Analysis'!C28:L28</xm:f>
              <xm:sqref>N28</xm:sqref>
            </x14:sparkline>
            <x14:sparkline>
              <xm:f>'Ratio Analysis'!C29:L29</xm:f>
              <xm:sqref>N29</xm:sqref>
            </x14:sparkline>
            <x14:sparkline>
              <xm:f>'Ratio Analysis'!C30:L30</xm:f>
              <xm:sqref>N30</xm:sqref>
            </x14:sparkline>
            <x14:sparkline>
              <xm:f>'Ratio Analysis'!C31:L31</xm:f>
              <xm:sqref>N31</xm:sqref>
            </x14:sparkline>
            <x14:sparkline>
              <xm:f>'Ratio Analysis'!C32:L32</xm:f>
              <xm:sqref>N32</xm:sqref>
            </x14:sparkline>
            <x14:sparkline>
              <xm:f>'Ratio Analysis'!C33:L33</xm:f>
              <xm:sqref>N33</xm:sqref>
            </x14:sparkline>
            <x14:sparkline>
              <xm:f>'Ratio Analysis'!C34:L34</xm:f>
              <xm:sqref>N34</xm:sqref>
            </x14:sparkline>
            <x14:sparkline>
              <xm:f>'Ratio Analysis'!C35:L35</xm:f>
              <xm:sqref>N35</xm:sqref>
            </x14:sparkline>
            <x14:sparkline>
              <xm:f>'Ratio Analysis'!C36:L36</xm:f>
              <xm:sqref>N36</xm:sqref>
            </x14:sparkline>
            <x14:sparkline>
              <xm:f>'Ratio Analysis'!C37:L37</xm:f>
              <xm:sqref>N37</xm:sqref>
            </x14:sparkline>
            <x14:sparkline>
              <xm:f>'Ratio Analysis'!C38:L38</xm:f>
              <xm:sqref>N38</xm:sqref>
            </x14:sparkline>
            <x14:sparkline>
              <xm:f>'Ratio Analysis'!C39:L39</xm:f>
              <xm:sqref>N39</xm:sqref>
            </x14:sparkline>
            <x14:sparkline>
              <xm:f>'Ratio Analysis'!C40:L40</xm:f>
              <xm:sqref>N40</xm:sqref>
            </x14:sparkline>
            <x14:sparkline>
              <xm:f>'Ratio Analysis'!C41:L41</xm:f>
              <xm:sqref>N41</xm:sqref>
            </x14:sparkline>
          </x14:sparklines>
        </x14:sparklineGroup>
        <x14:sparklineGroup displayEmptyCellsAs="gap" markers="1" high="1" xr2:uid="{4395523B-26C3-45D7-BD0F-6474E2137F90}">
          <x14:colorSeries rgb="FF376092"/>
          <x14:colorNegative rgb="FFD00000"/>
          <x14:colorAxis rgb="FF000000"/>
          <x14:colorMarkers theme="1"/>
          <x14:colorFirst rgb="FFD00000"/>
          <x14:colorLast rgb="FFD00000"/>
          <x14:colorHigh rgb="FF00B050"/>
          <x14:colorLow rgb="FFD00000"/>
          <x14:sparklines>
            <x14:sparkline>
              <xm:f>'Ratio Analysis'!D5:L5</xm:f>
              <xm:sqref>N5</xm:sqref>
            </x14:sparkline>
            <x14:sparkline>
              <xm:f>'Ratio Analysis'!D6:L6</xm:f>
              <xm:sqref>N6</xm:sqref>
            </x14:sparkline>
            <x14:sparkline>
              <xm:f>'Ratio Analysis'!D7:L7</xm:f>
              <xm:sqref>N7</xm:sqref>
            </x14:sparkline>
            <x14:sparkline>
              <xm:f>'Ratio Analysis'!D8:L8</xm:f>
              <xm:sqref>N8</xm:sqref>
            </x14:sparkline>
            <x14:sparkline>
              <xm:f>'Ratio Analysis'!D9:L9</xm:f>
              <xm:sqref>N9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7EF3-EE57-4987-80E1-5117D9376BDC}">
  <sheetPr>
    <tabColor rgb="FF002060"/>
  </sheetPr>
  <dimension ref="B3:O21"/>
  <sheetViews>
    <sheetView showGridLines="0" tabSelected="1" topLeftCell="D1" workbookViewId="0">
      <selection activeCell="B3" sqref="B3:E3 G3:J3 L3:O3 C5:D5 H5:I5 M5:N5 B6:E19 G6:J19 L6:O19"/>
    </sheetView>
  </sheetViews>
  <sheetFormatPr defaultRowHeight="14.5" x14ac:dyDescent="0.35"/>
  <cols>
    <col min="1" max="1" width="1.81640625" customWidth="1"/>
    <col min="2" max="2" width="11.36328125" bestFit="1" customWidth="1"/>
    <col min="3" max="3" width="9.54296875" bestFit="1" customWidth="1"/>
    <col min="4" max="4" width="12.54296875" customWidth="1"/>
    <col min="5" max="5" width="18.08984375" customWidth="1"/>
    <col min="9" max="9" width="14.54296875" customWidth="1"/>
    <col min="10" max="10" width="14.1796875" customWidth="1"/>
    <col min="12" max="12" width="12.90625" customWidth="1"/>
    <col min="13" max="13" width="12.1796875" customWidth="1"/>
    <col min="14" max="14" width="13.90625" customWidth="1"/>
    <col min="15" max="15" width="14.453125" customWidth="1"/>
  </cols>
  <sheetData>
    <row r="3" spans="2:15" x14ac:dyDescent="0.35">
      <c r="B3" s="57" t="str">
        <f>'Data Sheet'!B1&amp; " - "&amp; 'Data Sheet'!A17&amp;" Forecasting "</f>
        <v xml:space="preserve">HINDUSTAN UNILEVER LTD - Sales Forecasting </v>
      </c>
      <c r="C3" s="57"/>
      <c r="D3" s="57"/>
      <c r="E3" s="57"/>
      <c r="G3" s="57" t="str">
        <f>'Data Sheet'!B1&amp;" - "&amp; HistoricalFS!B21&amp;" Forecasting "</f>
        <v xml:space="preserve">HINDUSTAN UNILEVER LTD - EBITDA Forecasting </v>
      </c>
      <c r="H3" s="57"/>
      <c r="I3" s="57"/>
      <c r="J3" s="57"/>
      <c r="L3" s="57" t="str">
        <f>'Data Sheet'!B1&amp; " - "&amp;HistoricalFS!B44&amp; " Forecasting "</f>
        <v xml:space="preserve">HINDUSTAN UNILEVER LTD - Earnings Per Share  Forecasting </v>
      </c>
      <c r="M3" s="57"/>
      <c r="N3" s="57"/>
      <c r="O3" s="57"/>
    </row>
    <row r="4" spans="2:15" x14ac:dyDescent="0.35">
      <c r="B4" s="49" t="s">
        <v>160</v>
      </c>
      <c r="C4" s="12" t="s">
        <v>161</v>
      </c>
      <c r="D4" s="12" t="s">
        <v>1</v>
      </c>
      <c r="E4" s="12" t="s">
        <v>10</v>
      </c>
      <c r="G4" s="49" t="s">
        <v>160</v>
      </c>
      <c r="H4" s="12" t="s">
        <v>161</v>
      </c>
      <c r="I4" s="12" t="s">
        <v>65</v>
      </c>
      <c r="J4" s="12" t="s">
        <v>162</v>
      </c>
      <c r="L4" s="49" t="s">
        <v>160</v>
      </c>
      <c r="M4" s="12" t="s">
        <v>161</v>
      </c>
      <c r="N4" s="12" t="s">
        <v>31</v>
      </c>
      <c r="O4" s="12" t="s">
        <v>163</v>
      </c>
    </row>
    <row r="5" spans="2:15" x14ac:dyDescent="0.35">
      <c r="B5" s="8">
        <v>1</v>
      </c>
      <c r="C5" s="51">
        <f>'Data Sheet'!$B$16</f>
        <v>42825</v>
      </c>
      <c r="D5" s="52">
        <f t="array" ref="D5:D14">TRANSPOSE('Data Sheet'!B17:K17)</f>
        <v>33162</v>
      </c>
      <c r="E5" s="52"/>
      <c r="G5" s="8">
        <v>1</v>
      </c>
      <c r="H5" s="51">
        <f>'Data Sheet'!B16</f>
        <v>42825</v>
      </c>
      <c r="I5" s="52">
        <f t="array" ref="I5:I14">TRANSPOSE(HistoricalFS!C21:L21)</f>
        <v>6616</v>
      </c>
      <c r="J5" s="52"/>
      <c r="L5" s="8">
        <v>1</v>
      </c>
      <c r="M5" s="51">
        <f>'Data Sheet'!B16</f>
        <v>42825</v>
      </c>
      <c r="N5" s="52">
        <f t="array" ref="N5:N14">IFERROR(TRANSPOSE(HistoricalFS!C44:L44),0)</f>
        <v>22.076421937808991</v>
      </c>
      <c r="O5" s="52"/>
    </row>
    <row r="6" spans="2:15" x14ac:dyDescent="0.35">
      <c r="B6" s="8">
        <f>B5+1</f>
        <v>2</v>
      </c>
      <c r="C6" s="51">
        <f>C5+365</f>
        <v>43190</v>
      </c>
      <c r="D6" s="52">
        <v>1365.06</v>
      </c>
      <c r="E6" s="44">
        <f>IFERROR(D6/D5-1,0)</f>
        <v>-0.95883662022797178</v>
      </c>
      <c r="G6" s="8">
        <f>G5+1</f>
        <v>2</v>
      </c>
      <c r="H6" s="51">
        <f>H5+365</f>
        <v>43190</v>
      </c>
      <c r="I6" s="52">
        <v>7355</v>
      </c>
      <c r="J6" s="44">
        <f>IFERROR(I6/I5-1,0)</f>
        <v>0.11169891172914137</v>
      </c>
      <c r="L6" s="8">
        <f>L5+1</f>
        <v>2</v>
      </c>
      <c r="M6" s="51">
        <f>M5+365</f>
        <v>43190</v>
      </c>
      <c r="N6" s="52">
        <v>23.483483483483486</v>
      </c>
      <c r="O6" s="44">
        <f>IFERROR(N6/N5-1,0)</f>
        <v>6.3735941885795455E-2</v>
      </c>
    </row>
    <row r="7" spans="2:15" x14ac:dyDescent="0.35">
      <c r="B7" s="8">
        <f t="shared" ref="B7:B19" si="0">B6+1</f>
        <v>3</v>
      </c>
      <c r="C7" s="51">
        <f t="shared" ref="C7:C19" si="1">C6+365</f>
        <v>43555</v>
      </c>
      <c r="D7" s="52">
        <v>1430.59</v>
      </c>
      <c r="E7" s="44">
        <f t="shared" ref="E7:E19" si="2">IFERROR(D7/D6-1,0)</f>
        <v>4.8005215887946262E-2</v>
      </c>
      <c r="G7" s="8">
        <f t="shared" ref="G7:G19" si="3">G6+1</f>
        <v>3</v>
      </c>
      <c r="H7" s="51">
        <f t="shared" ref="H7:H19" si="4">H6+365</f>
        <v>43555</v>
      </c>
      <c r="I7" s="52">
        <v>8904</v>
      </c>
      <c r="J7" s="44">
        <f t="shared" ref="J7:J19" si="5">IFERROR(I7/I6-1,0)</f>
        <v>0.21060503059143443</v>
      </c>
      <c r="L7" s="8">
        <f t="shared" ref="L7:L19" si="6">L6+1</f>
        <v>3</v>
      </c>
      <c r="M7" s="51">
        <f t="shared" ref="M7:M15" si="7">M6+365</f>
        <v>43555</v>
      </c>
      <c r="N7" s="52">
        <v>28.105511156280315</v>
      </c>
      <c r="O7" s="44">
        <f t="shared" ref="O7:O19" si="8">IFERROR(N7/N6-1,0)</f>
        <v>0.19682035997971159</v>
      </c>
    </row>
    <row r="8" spans="2:15" x14ac:dyDescent="0.35">
      <c r="B8" s="8">
        <f t="shared" si="0"/>
        <v>4</v>
      </c>
      <c r="C8" s="51">
        <f t="shared" si="1"/>
        <v>43920</v>
      </c>
      <c r="D8" s="52">
        <v>1437.57</v>
      </c>
      <c r="E8" s="44">
        <f t="shared" si="2"/>
        <v>4.8791058234713969E-3</v>
      </c>
      <c r="G8" s="8">
        <f t="shared" si="3"/>
        <v>4</v>
      </c>
      <c r="H8" s="51">
        <f t="shared" si="4"/>
        <v>43920</v>
      </c>
      <c r="I8" s="52">
        <v>9645</v>
      </c>
      <c r="J8" s="44">
        <f t="shared" si="5"/>
        <v>8.3221024258760101E-2</v>
      </c>
      <c r="L8" s="8">
        <f t="shared" si="6"/>
        <v>4</v>
      </c>
      <c r="M8" s="51">
        <f t="shared" si="7"/>
        <v>43920</v>
      </c>
      <c r="N8" s="52">
        <v>30.210643015521065</v>
      </c>
      <c r="O8" s="44">
        <f t="shared" si="8"/>
        <v>7.4901034446062553E-2</v>
      </c>
    </row>
    <row r="9" spans="2:15" x14ac:dyDescent="0.35">
      <c r="B9" s="8">
        <f t="shared" si="0"/>
        <v>5</v>
      </c>
      <c r="C9" s="51">
        <f t="shared" si="1"/>
        <v>44285</v>
      </c>
      <c r="D9" s="52">
        <v>1564.49</v>
      </c>
      <c r="E9" s="44">
        <f t="shared" si="2"/>
        <v>8.8287874677407174E-2</v>
      </c>
      <c r="G9" s="8">
        <f t="shared" si="3"/>
        <v>5</v>
      </c>
      <c r="H9" s="51">
        <f t="shared" si="4"/>
        <v>44285</v>
      </c>
      <c r="I9" s="52">
        <v>10816</v>
      </c>
      <c r="J9" s="44">
        <f t="shared" si="5"/>
        <v>0.12141005702436503</v>
      </c>
      <c r="L9" s="8">
        <f t="shared" si="6"/>
        <v>5</v>
      </c>
      <c r="M9" s="51">
        <f t="shared" si="7"/>
        <v>44285</v>
      </c>
      <c r="N9" s="52">
        <v>30.596697310180456</v>
      </c>
      <c r="O9" s="44">
        <f t="shared" si="8"/>
        <v>1.2778751331477878E-2</v>
      </c>
    </row>
    <row r="10" spans="2:15" x14ac:dyDescent="0.35">
      <c r="B10" s="8">
        <f t="shared" si="0"/>
        <v>6</v>
      </c>
      <c r="C10" s="51">
        <f t="shared" si="1"/>
        <v>44650</v>
      </c>
      <c r="D10" s="52">
        <v>2160.35</v>
      </c>
      <c r="E10" s="44">
        <f t="shared" si="2"/>
        <v>0.38086532991581912</v>
      </c>
      <c r="G10" s="8">
        <f t="shared" si="3"/>
        <v>6</v>
      </c>
      <c r="H10" s="51">
        <f t="shared" si="4"/>
        <v>44650</v>
      </c>
      <c r="I10" s="52">
        <v>12813</v>
      </c>
      <c r="J10" s="44">
        <f t="shared" si="5"/>
        <v>0.18463387573964507</v>
      </c>
      <c r="L10" s="8">
        <f t="shared" si="6"/>
        <v>6</v>
      </c>
      <c r="M10" s="51">
        <f t="shared" si="7"/>
        <v>44650</v>
      </c>
      <c r="N10" s="52">
        <v>37.657473612529792</v>
      </c>
      <c r="O10" s="44">
        <f t="shared" si="8"/>
        <v>0.23076923076923084</v>
      </c>
    </row>
    <row r="11" spans="2:15" x14ac:dyDescent="0.35">
      <c r="B11" s="8">
        <f t="shared" si="0"/>
        <v>7</v>
      </c>
      <c r="C11" s="51">
        <f t="shared" si="1"/>
        <v>45015</v>
      </c>
      <c r="D11" s="52">
        <v>2647.9</v>
      </c>
      <c r="E11" s="44">
        <f t="shared" si="2"/>
        <v>0.22568102390816303</v>
      </c>
      <c r="G11" s="8">
        <f t="shared" si="3"/>
        <v>7</v>
      </c>
      <c r="H11" s="51">
        <f t="shared" si="4"/>
        <v>45015</v>
      </c>
      <c r="I11" s="52">
        <v>13997</v>
      </c>
      <c r="J11" s="44">
        <f t="shared" si="5"/>
        <v>9.2406150003902177E-2</v>
      </c>
      <c r="L11" s="8">
        <f t="shared" si="6"/>
        <v>7</v>
      </c>
      <c r="M11" s="51">
        <f t="shared" si="7"/>
        <v>45015</v>
      </c>
      <c r="N11" s="52">
        <v>42.530643513789578</v>
      </c>
      <c r="O11" s="44">
        <f t="shared" si="8"/>
        <v>0.12940777576853524</v>
      </c>
    </row>
    <row r="12" spans="2:15" x14ac:dyDescent="0.35">
      <c r="B12" s="8">
        <f t="shared" si="0"/>
        <v>8</v>
      </c>
      <c r="C12" s="51">
        <f t="shared" si="1"/>
        <v>45380</v>
      </c>
      <c r="D12" s="52">
        <v>2925.54</v>
      </c>
      <c r="E12" s="44">
        <f t="shared" si="2"/>
        <v>0.10485290229993582</v>
      </c>
      <c r="G12" s="8">
        <f t="shared" si="3"/>
        <v>8</v>
      </c>
      <c r="H12" s="51">
        <f t="shared" si="4"/>
        <v>45380</v>
      </c>
      <c r="I12" s="52">
        <v>14637</v>
      </c>
      <c r="J12" s="44">
        <f t="shared" si="5"/>
        <v>4.572408373222836E-2</v>
      </c>
      <c r="L12" s="8">
        <f t="shared" si="6"/>
        <v>8</v>
      </c>
      <c r="M12" s="51">
        <f t="shared" si="7"/>
        <v>45380</v>
      </c>
      <c r="N12" s="52">
        <v>43.667007150153218</v>
      </c>
      <c r="O12" s="44">
        <f t="shared" si="8"/>
        <v>2.6718703092164509E-2</v>
      </c>
    </row>
    <row r="13" spans="2:15" x14ac:dyDescent="0.35">
      <c r="B13" s="8">
        <f t="shared" si="0"/>
        <v>9</v>
      </c>
      <c r="C13" s="51">
        <f t="shared" si="1"/>
        <v>45745</v>
      </c>
      <c r="D13" s="52">
        <v>3365.87</v>
      </c>
      <c r="E13" s="44">
        <f t="shared" si="2"/>
        <v>0.15051238403850231</v>
      </c>
      <c r="G13" s="8">
        <f t="shared" si="3"/>
        <v>9</v>
      </c>
      <c r="H13" s="51">
        <f t="shared" si="4"/>
        <v>45745</v>
      </c>
      <c r="I13" s="52">
        <v>14448</v>
      </c>
      <c r="J13" s="44">
        <f t="shared" si="5"/>
        <v>-1.2912482065997155E-2</v>
      </c>
      <c r="L13" s="8">
        <f t="shared" si="6"/>
        <v>9</v>
      </c>
      <c r="M13" s="51">
        <f t="shared" si="7"/>
        <v>45745</v>
      </c>
      <c r="N13" s="52">
        <v>44.352230166836904</v>
      </c>
      <c r="O13" s="44">
        <f t="shared" si="8"/>
        <v>1.5692007797270868E-2</v>
      </c>
    </row>
    <row r="14" spans="2:15" x14ac:dyDescent="0.35">
      <c r="B14" s="8">
        <f t="shared" si="0"/>
        <v>10</v>
      </c>
      <c r="C14" s="51">
        <f t="shared" si="1"/>
        <v>46110</v>
      </c>
      <c r="D14" s="52">
        <v>4117.03</v>
      </c>
      <c r="E14" s="44">
        <f t="shared" si="2"/>
        <v>0.22316964113290161</v>
      </c>
      <c r="G14" s="8">
        <f t="shared" si="3"/>
        <v>10</v>
      </c>
      <c r="H14" s="51">
        <f t="shared" si="4"/>
        <v>46110</v>
      </c>
      <c r="I14" s="52">
        <v>14181</v>
      </c>
      <c r="J14" s="44">
        <f t="shared" si="5"/>
        <v>-1.8480066445182741E-2</v>
      </c>
      <c r="L14" s="8">
        <f t="shared" si="6"/>
        <v>10</v>
      </c>
      <c r="M14" s="51">
        <f t="shared" si="7"/>
        <v>46110</v>
      </c>
      <c r="N14" s="52">
        <v>60.440074906367037</v>
      </c>
      <c r="O14" s="44">
        <f t="shared" si="8"/>
        <v>0.3627291046924479</v>
      </c>
    </row>
    <row r="15" spans="2:15" x14ac:dyDescent="0.35">
      <c r="B15" s="53">
        <f t="shared" si="0"/>
        <v>11</v>
      </c>
      <c r="C15" s="54">
        <f t="shared" si="1"/>
        <v>46475</v>
      </c>
      <c r="D15" s="55">
        <f>IFERROR(FORECAST(B15,$D$5:$D$14,$B$5:$B$14),0)</f>
        <v>-2438.9420000000009</v>
      </c>
      <c r="E15" s="56">
        <f t="shared" si="2"/>
        <v>-1.5924032615744848</v>
      </c>
      <c r="G15" s="53">
        <f t="shared" si="3"/>
        <v>11</v>
      </c>
      <c r="H15" s="54">
        <f t="shared" si="4"/>
        <v>46475</v>
      </c>
      <c r="I15" s="55">
        <f>IFERROR(FORECAST(G15,$I$5:$I$14,$G$5:$G$14),0)</f>
        <v>16723</v>
      </c>
      <c r="J15" s="56">
        <f t="shared" si="5"/>
        <v>0.17925393131655021</v>
      </c>
      <c r="L15" s="53">
        <f t="shared" si="6"/>
        <v>11</v>
      </c>
      <c r="M15" s="54">
        <f t="shared" si="7"/>
        <v>46475</v>
      </c>
      <c r="N15" s="55">
        <f>IFERROR(FORECAST(L15,$N$5:$N$14,$L$5:$L$14),0)</f>
        <v>56.751430667528936</v>
      </c>
      <c r="O15" s="56">
        <f t="shared" si="8"/>
        <v>-6.102977609727489E-2</v>
      </c>
    </row>
    <row r="16" spans="2:15" x14ac:dyDescent="0.35">
      <c r="B16" s="53">
        <f t="shared" si="0"/>
        <v>12</v>
      </c>
      <c r="C16" s="54">
        <f t="shared" si="1"/>
        <v>46840</v>
      </c>
      <c r="D16" s="55">
        <f t="shared" ref="D16:D19" si="9">IFERROR(FORECAST(B16,$D$5:$D$14,$B$5:$B$14),0)</f>
        <v>-3867.411454545454</v>
      </c>
      <c r="E16" s="56">
        <f t="shared" si="2"/>
        <v>0.58569226104821381</v>
      </c>
      <c r="G16" s="53">
        <f t="shared" si="3"/>
        <v>12</v>
      </c>
      <c r="H16" s="54">
        <f>H15+365</f>
        <v>46840</v>
      </c>
      <c r="I16" s="55">
        <f t="shared" ref="I16:I19" si="10">IFERROR(FORECAST(G16,$I$5:$I$14,$G$5:$G$14),0)</f>
        <v>17701.50909090909</v>
      </c>
      <c r="J16" s="56">
        <f t="shared" si="5"/>
        <v>5.851277228422469E-2</v>
      </c>
      <c r="L16" s="53">
        <f t="shared" si="6"/>
        <v>12</v>
      </c>
      <c r="M16" s="54">
        <f>M15+365</f>
        <v>46840</v>
      </c>
      <c r="N16" s="55">
        <f>IFERROR(FORECAST(L16,$N$5:$N$14,$L$5:$L$14),0)</f>
        <v>60.46768740248055</v>
      </c>
      <c r="O16" s="56">
        <f t="shared" si="8"/>
        <v>6.5483049347651479E-2</v>
      </c>
    </row>
    <row r="17" spans="2:15" x14ac:dyDescent="0.35">
      <c r="B17" s="53">
        <f t="shared" si="0"/>
        <v>13</v>
      </c>
      <c r="C17" s="54">
        <f t="shared" si="1"/>
        <v>47205</v>
      </c>
      <c r="D17" s="55">
        <f t="shared" si="9"/>
        <v>-5295.880909090909</v>
      </c>
      <c r="E17" s="56">
        <f t="shared" si="2"/>
        <v>0.36936061014830557</v>
      </c>
      <c r="G17" s="53">
        <f t="shared" si="3"/>
        <v>13</v>
      </c>
      <c r="H17" s="54">
        <f t="shared" si="4"/>
        <v>47205</v>
      </c>
      <c r="I17" s="55">
        <f t="shared" si="10"/>
        <v>18680.018181818181</v>
      </c>
      <c r="J17" s="56">
        <f t="shared" si="5"/>
        <v>5.5278286494320428E-2</v>
      </c>
      <c r="L17" s="53">
        <f t="shared" si="6"/>
        <v>13</v>
      </c>
      <c r="M17" s="54">
        <f t="shared" ref="M17:M19" si="11">M16+365</f>
        <v>47205</v>
      </c>
      <c r="N17" s="55">
        <f t="shared" ref="N17:N19" si="12">IFERROR(FORECAST(L17,$N$5:$N$14,$L$5:$L$14),0)</f>
        <v>64.183944137432164</v>
      </c>
      <c r="O17" s="56">
        <f t="shared" si="8"/>
        <v>6.1458555711180862E-2</v>
      </c>
    </row>
    <row r="18" spans="2:15" x14ac:dyDescent="0.35">
      <c r="B18" s="53">
        <f t="shared" si="0"/>
        <v>14</v>
      </c>
      <c r="C18" s="54">
        <f t="shared" si="1"/>
        <v>47570</v>
      </c>
      <c r="D18" s="55">
        <f t="shared" si="9"/>
        <v>-6724.3503636363639</v>
      </c>
      <c r="E18" s="56">
        <f t="shared" si="2"/>
        <v>0.2697321709204874</v>
      </c>
      <c r="G18" s="53">
        <f t="shared" si="3"/>
        <v>14</v>
      </c>
      <c r="H18" s="54">
        <f t="shared" si="4"/>
        <v>47570</v>
      </c>
      <c r="I18" s="55">
        <f t="shared" si="10"/>
        <v>19658.527272727275</v>
      </c>
      <c r="J18" s="56">
        <f t="shared" si="5"/>
        <v>5.2382662660441337E-2</v>
      </c>
      <c r="L18" s="53">
        <f t="shared" si="6"/>
        <v>14</v>
      </c>
      <c r="M18" s="54">
        <f t="shared" si="11"/>
        <v>47570</v>
      </c>
      <c r="N18" s="55">
        <f t="shared" si="12"/>
        <v>67.900200872383778</v>
      </c>
      <c r="O18" s="56">
        <f t="shared" si="8"/>
        <v>5.7900099236567248E-2</v>
      </c>
    </row>
    <row r="19" spans="2:15" x14ac:dyDescent="0.35">
      <c r="B19" s="53">
        <f t="shared" si="0"/>
        <v>15</v>
      </c>
      <c r="C19" s="54">
        <f t="shared" si="1"/>
        <v>47935</v>
      </c>
      <c r="D19" s="55">
        <f t="shared" si="9"/>
        <v>-8152.8198181818188</v>
      </c>
      <c r="E19" s="56">
        <f t="shared" si="2"/>
        <v>0.21243233580901233</v>
      </c>
      <c r="G19" s="53">
        <f t="shared" si="3"/>
        <v>15</v>
      </c>
      <c r="H19" s="54">
        <f t="shared" si="4"/>
        <v>47935</v>
      </c>
      <c r="I19" s="55">
        <f t="shared" si="10"/>
        <v>20637.036363636365</v>
      </c>
      <c r="J19" s="56">
        <f t="shared" si="5"/>
        <v>4.977529991611318E-2</v>
      </c>
      <c r="L19" s="53">
        <f t="shared" si="6"/>
        <v>15</v>
      </c>
      <c r="M19" s="54">
        <f t="shared" si="11"/>
        <v>47935</v>
      </c>
      <c r="N19" s="55">
        <f t="shared" si="12"/>
        <v>71.616457607335377</v>
      </c>
      <c r="O19" s="56">
        <f t="shared" si="8"/>
        <v>5.4731159660870166E-2</v>
      </c>
    </row>
    <row r="20" spans="2:15" x14ac:dyDescent="0.35">
      <c r="B20" s="8"/>
      <c r="C20" s="50"/>
    </row>
    <row r="21" spans="2:15" x14ac:dyDescent="0.35">
      <c r="B21" s="8"/>
      <c r="C21" s="50"/>
    </row>
  </sheetData>
  <mergeCells count="3">
    <mergeCell ref="B3:E3"/>
    <mergeCell ref="G3:J3"/>
    <mergeCell ref="L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14160-9F10-43E4-A5E7-EA6F7D682E6E}">
  <sheetPr>
    <tabColor rgb="FF002060"/>
  </sheetPr>
  <dimension ref="B2:L46"/>
  <sheetViews>
    <sheetView showGridLines="0" topLeftCell="A25" workbookViewId="0">
      <selection activeCell="H46" sqref="H46"/>
    </sheetView>
  </sheetViews>
  <sheetFormatPr defaultRowHeight="14.5" x14ac:dyDescent="0.35"/>
  <cols>
    <col min="1" max="1" width="1.81640625" customWidth="1"/>
    <col min="2" max="2" width="18.54296875" bestFit="1" customWidth="1"/>
    <col min="3" max="4" width="9.54296875" bestFit="1" customWidth="1"/>
  </cols>
  <sheetData>
    <row r="2" spans="2:12" x14ac:dyDescent="0.35">
      <c r="B2" s="60" t="str">
        <f>"Common Size Income Statement"&amp;" - " &amp;'Data Sheet'!$B$1</f>
        <v>Common Size Income Statement - HINDUSTAN UNILEVER LTD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4" spans="2:12" x14ac:dyDescent="0.35">
      <c r="B4" s="61" t="s">
        <v>167</v>
      </c>
      <c r="C4" s="62">
        <f>'Data Sheet'!B$16</f>
        <v>42825</v>
      </c>
      <c r="D4" s="62">
        <f>'Data Sheet'!C$16</f>
        <v>43190</v>
      </c>
      <c r="E4" s="62">
        <f>'Data Sheet'!D$16</f>
        <v>43555</v>
      </c>
      <c r="F4" s="62">
        <f>'Data Sheet'!E$16</f>
        <v>43921</v>
      </c>
      <c r="G4" s="62">
        <f>'Data Sheet'!F$16</f>
        <v>44286</v>
      </c>
      <c r="H4" s="62">
        <f>'Data Sheet'!G$16</f>
        <v>44651</v>
      </c>
      <c r="I4" s="62">
        <f>'Data Sheet'!H$16</f>
        <v>45016</v>
      </c>
      <c r="J4" s="62">
        <f>'Data Sheet'!I$16</f>
        <v>45382</v>
      </c>
      <c r="K4" s="62">
        <f>'Data Sheet'!J$16</f>
        <v>45747</v>
      </c>
      <c r="L4" s="62">
        <f>'Data Sheet'!K$16</f>
        <v>46112</v>
      </c>
    </row>
    <row r="6" spans="2:12" x14ac:dyDescent="0.35">
      <c r="B6" s="63" t="str">
        <f>'Data Sheet'!A17</f>
        <v>Sales</v>
      </c>
      <c r="C6" s="64">
        <f>'Data Sheet'!B17/'Data Sheet'!B$17</f>
        <v>1</v>
      </c>
      <c r="D6" s="64">
        <f>'Data Sheet'!C17/'Data Sheet'!C$17</f>
        <v>1</v>
      </c>
      <c r="E6" s="64">
        <f>'Data Sheet'!D17/'Data Sheet'!D$17</f>
        <v>1</v>
      </c>
      <c r="F6" s="64">
        <f>'Data Sheet'!E17/'Data Sheet'!E$17</f>
        <v>1</v>
      </c>
      <c r="G6" s="64">
        <f>'Data Sheet'!F17/'Data Sheet'!F$17</f>
        <v>1</v>
      </c>
      <c r="H6" s="64">
        <f>'Data Sheet'!G17/'Data Sheet'!G$17</f>
        <v>1</v>
      </c>
      <c r="I6" s="64">
        <f>'Data Sheet'!H17/'Data Sheet'!H$17</f>
        <v>1</v>
      </c>
      <c r="J6" s="64">
        <f>'Data Sheet'!I17/'Data Sheet'!I$17</f>
        <v>1</v>
      </c>
      <c r="K6" s="64">
        <f>'Data Sheet'!J17/'Data Sheet'!J$17</f>
        <v>1</v>
      </c>
      <c r="L6" s="64">
        <f>'Data Sheet'!K17/'Data Sheet'!K$17</f>
        <v>1</v>
      </c>
    </row>
    <row r="7" spans="2:12" x14ac:dyDescent="0.35">
      <c r="B7" s="63" t="str">
        <f>'Data Sheet'!A18</f>
        <v>Raw Material Cost</v>
      </c>
      <c r="C7" s="64">
        <f>'Data Sheet'!B18/'Data Sheet'!B$17</f>
        <v>0.41028888486822268</v>
      </c>
      <c r="D7" s="64">
        <f>'Data Sheet'!C18/'Data Sheet'!C$17</f>
        <v>0.40042200028133351</v>
      </c>
      <c r="E7" s="64">
        <f>'Data Sheet'!D18/'Data Sheet'!D$17</f>
        <v>0.40307809717629101</v>
      </c>
      <c r="F7" s="64">
        <f>'Data Sheet'!E18/'Data Sheet'!E$17</f>
        <v>0.39456551793479627</v>
      </c>
      <c r="G7" s="64">
        <f>'Data Sheet'!F18/'Data Sheet'!F$17</f>
        <v>0.42827677128519182</v>
      </c>
      <c r="H7" s="64">
        <f>'Data Sheet'!G18/'Data Sheet'!G$17</f>
        <v>0.43608664149792165</v>
      </c>
      <c r="I7" s="64">
        <f>'Data Sheet'!H18/'Data Sheet'!H$17</f>
        <v>0.46924727632882141</v>
      </c>
      <c r="J7" s="64">
        <f>'Data Sheet'!I18/'Data Sheet'!I$17</f>
        <v>0.43333979578648057</v>
      </c>
      <c r="K7" s="64">
        <f>'Data Sheet'!J18/'Data Sheet'!J$17</f>
        <v>0.43376597965040437</v>
      </c>
      <c r="L7" s="64">
        <f>'Data Sheet'!K18/'Data Sheet'!K$17</f>
        <v>0.45228640565862133</v>
      </c>
    </row>
    <row r="8" spans="2:12" x14ac:dyDescent="0.35">
      <c r="B8" s="63" t="str">
        <f>'Data Sheet'!A19</f>
        <v>Change in Inventory</v>
      </c>
      <c r="C8" s="64">
        <f>'Data Sheet'!B19/'Data Sheet'!B$17</f>
        <v>-4.3423195223448521E-3</v>
      </c>
      <c r="D8" s="64">
        <f>'Data Sheet'!C19/'Data Sheet'!C$17</f>
        <v>2.0256013504009003E-3</v>
      </c>
      <c r="E8" s="64">
        <f>'Data Sheet'!D19/'Data Sheet'!D$17</f>
        <v>-3.0526583566522515E-4</v>
      </c>
      <c r="F8" s="64">
        <f>'Data Sheet'!E19/'Data Sheet'!E$17</f>
        <v>2.7147273961239727E-3</v>
      </c>
      <c r="G8" s="64">
        <f>'Data Sheet'!F19/'Data Sheet'!F$17</f>
        <v>8.6118907884664454E-3</v>
      </c>
      <c r="H8" s="64">
        <f>'Data Sheet'!G19/'Data Sheet'!G$17</f>
        <v>4.1947908324753078E-4</v>
      </c>
      <c r="I8" s="64">
        <f>'Data Sheet'!H19/'Data Sheet'!H$17</f>
        <v>1.2380323539121821E-3</v>
      </c>
      <c r="J8" s="64">
        <f>'Data Sheet'!I19/'Data Sheet'!I$17</f>
        <v>1.7771746154840378E-4</v>
      </c>
      <c r="K8" s="64">
        <f>'Data Sheet'!J19/'Data Sheet'!J$17</f>
        <v>2.0382207148447692E-3</v>
      </c>
      <c r="L8" s="64">
        <f>'Data Sheet'!K19/'Data Sheet'!K$17</f>
        <v>6.6544642303158156E-3</v>
      </c>
    </row>
    <row r="9" spans="2:12" x14ac:dyDescent="0.35">
      <c r="B9" s="63" t="str">
        <f>'Data Sheet'!A20</f>
        <v>Power and Fuel</v>
      </c>
      <c r="C9" s="64">
        <f>'Data Sheet'!B20/'Data Sheet'!B$17</f>
        <v>8.8957240214703574E-3</v>
      </c>
      <c r="D9" s="64">
        <f>'Data Sheet'!C20/'Data Sheet'!C$17</f>
        <v>8.2993388662259103E-3</v>
      </c>
      <c r="E9" s="64">
        <f>'Data Sheet'!D20/'Data Sheet'!D$17</f>
        <v>7.8351564487407783E-3</v>
      </c>
      <c r="F9" s="64">
        <f>'Data Sheet'!E20/'Data Sheet'!E$17</f>
        <v>7.5157730688987755E-3</v>
      </c>
      <c r="G9" s="64">
        <f>'Data Sheet'!F20/'Data Sheet'!F$17</f>
        <v>7.2084715488645061E-3</v>
      </c>
      <c r="H9" s="64">
        <f>'Data Sheet'!G20/'Data Sheet'!G$17</f>
        <v>6.0633794760324902E-3</v>
      </c>
      <c r="I9" s="64">
        <f>'Data Sheet'!H20/'Data Sheet'!H$17</f>
        <v>6.3387256520303732E-3</v>
      </c>
      <c r="J9" s="64">
        <f>'Data Sheet'!I20/'Data Sheet'!I$17</f>
        <v>7.2056352591443711E-3</v>
      </c>
      <c r="K9" s="64">
        <f>'Data Sheet'!J20/'Data Sheet'!J$17</f>
        <v>6.5712235846595354E-3</v>
      </c>
      <c r="L9" s="64">
        <f>'Data Sheet'!K20/'Data Sheet'!K$17</f>
        <v>6.6079295154185024E-3</v>
      </c>
    </row>
    <row r="10" spans="2:12" x14ac:dyDescent="0.35">
      <c r="B10" s="63" t="str">
        <f>'Data Sheet'!A21</f>
        <v>Other Mfr. Exp</v>
      </c>
      <c r="C10" s="64">
        <f>'Data Sheet'!B21/'Data Sheet'!B$17</f>
        <v>8.7057475423677699E-2</v>
      </c>
      <c r="D10" s="64">
        <f>'Data Sheet'!C21/'Data Sheet'!C$17</f>
        <v>8.4343789562526375E-2</v>
      </c>
      <c r="E10" s="64">
        <f>'Data Sheet'!D21/'Data Sheet'!D$17</f>
        <v>7.7359450521495801E-2</v>
      </c>
      <c r="F10" s="64">
        <f>'Data Sheet'!E21/'Data Sheet'!E$17</f>
        <v>7.3046276047558006E-2</v>
      </c>
      <c r="G10" s="64">
        <f>'Data Sheet'!F21/'Data Sheet'!F$17</f>
        <v>6.0984945139066091E-2</v>
      </c>
      <c r="H10" s="64">
        <f>'Data Sheet'!G21/'Data Sheet'!G$17</f>
        <v>6.3951492964191739E-2</v>
      </c>
      <c r="I10" s="64">
        <f>'Data Sheet'!H21/'Data Sheet'!H$17</f>
        <v>6.2578408715747769E-2</v>
      </c>
      <c r="J10" s="64">
        <f>'Data Sheet'!I21/'Data Sheet'!I$17</f>
        <v>5.4688509758304249E-2</v>
      </c>
      <c r="K10" s="64">
        <f>'Data Sheet'!J21/'Data Sheet'!J$17</f>
        <v>6.0119358205061313E-2</v>
      </c>
      <c r="L10" s="64">
        <f>'Data Sheet'!K21/'Data Sheet'!K$17</f>
        <v>5.1250232673574488E-2</v>
      </c>
    </row>
    <row r="11" spans="2:12" x14ac:dyDescent="0.35">
      <c r="B11" s="63" t="str">
        <f>'Data Sheet'!A22</f>
        <v>Employee Cost</v>
      </c>
      <c r="C11" s="64">
        <f>'Data Sheet'!B22/'Data Sheet'!B$17</f>
        <v>5.2560159218382488E-2</v>
      </c>
      <c r="D11" s="64">
        <f>'Data Sheet'!C22/'Data Sheet'!C$17</f>
        <v>5.2328034885356589E-2</v>
      </c>
      <c r="E11" s="64">
        <f>'Data Sheet'!D22/'Data Sheet'!D$17</f>
        <v>4.7697786822691428E-2</v>
      </c>
      <c r="F11" s="64">
        <f>'Data Sheet'!E22/'Data Sheet'!E$17</f>
        <v>4.574818389764472E-2</v>
      </c>
      <c r="G11" s="64">
        <f>'Data Sheet'!F22/'Data Sheet'!F$17</f>
        <v>5.0140341923960191E-2</v>
      </c>
      <c r="H11" s="64">
        <f>'Data Sheet'!G22/'Data Sheet'!G$17</f>
        <v>4.8526103039316627E-2</v>
      </c>
      <c r="I11" s="64">
        <f>'Data Sheet'!H22/'Data Sheet'!H$17</f>
        <v>4.7111257840871577E-2</v>
      </c>
      <c r="J11" s="64">
        <f>'Data Sheet'!I22/'Data Sheet'!I$17</f>
        <v>4.8613803799922452E-2</v>
      </c>
      <c r="K11" s="64">
        <f>'Data Sheet'!J22/'Data Sheet'!J$17</f>
        <v>4.8134620401774068E-2</v>
      </c>
      <c r="L11" s="64">
        <f>'Data Sheet'!K22/'Data Sheet'!K$17</f>
        <v>4.9249239932990012E-2</v>
      </c>
    </row>
    <row r="12" spans="2:12" x14ac:dyDescent="0.35">
      <c r="B12" s="63" t="str">
        <f>'Data Sheet'!A23</f>
        <v>Selling and admin</v>
      </c>
      <c r="C12" s="64">
        <f>'Data Sheet'!B23/'Data Sheet'!B$17</f>
        <v>0.20170677281225499</v>
      </c>
      <c r="D12" s="64">
        <f>'Data Sheet'!C23/'Data Sheet'!C$17</f>
        <v>0.20402306934871289</v>
      </c>
      <c r="E12" s="64">
        <f>'Data Sheet'!D23/'Data Sheet'!D$17</f>
        <v>0.19832103790384126</v>
      </c>
      <c r="F12" s="64">
        <f>'Data Sheet'!E23/'Data Sheet'!E$17</f>
        <v>0.19153909961541363</v>
      </c>
      <c r="G12" s="64">
        <f>'Data Sheet'!F23/'Data Sheet'!F$17</f>
        <v>0.16811261376201411</v>
      </c>
      <c r="H12" s="64">
        <f>'Data Sheet'!G23/'Data Sheet'!G$17</f>
        <v>0.15566487434694734</v>
      </c>
      <c r="I12" s="64">
        <f>'Data Sheet'!H23/'Data Sheet'!H$17</f>
        <v>0.14501485638824696</v>
      </c>
      <c r="J12" s="64">
        <f>'Data Sheet'!I23/'Data Sheet'!I$17</f>
        <v>0.1741631123174357</v>
      </c>
      <c r="K12" s="64">
        <f>'Data Sheet'!J23/'Data Sheet'!J$17</f>
        <v>0.16542199321680146</v>
      </c>
      <c r="L12" s="64">
        <f>'Data Sheet'!K23/'Data Sheet'!K$17</f>
        <v>0.16665632561891172</v>
      </c>
    </row>
    <row r="13" spans="2:12" x14ac:dyDescent="0.35">
      <c r="B13" s="63" t="str">
        <f>'Data Sheet'!A24</f>
        <v>Other Expenses</v>
      </c>
      <c r="C13" s="64">
        <f>'Data Sheet'!B24/'Data Sheet'!B$17</f>
        <v>4.4327845123937039E-2</v>
      </c>
      <c r="D13" s="64">
        <f>'Data Sheet'!C24/'Data Sheet'!C$17</f>
        <v>4.1637361091574059E-2</v>
      </c>
      <c r="E13" s="64">
        <f>'Data Sheet'!D24/'Data Sheet'!D$17</f>
        <v>3.9506486899007889E-2</v>
      </c>
      <c r="F13" s="64">
        <f>'Data Sheet'!E24/'Data Sheet'!E$17</f>
        <v>4.2430183746826534E-2</v>
      </c>
      <c r="G13" s="64">
        <f>'Data Sheet'!F24/'Data Sheet'!F$17</f>
        <v>4.6674321680700862E-2</v>
      </c>
      <c r="H13" s="64">
        <f>'Data Sheet'!G24/'Data Sheet'!G$17</f>
        <v>4.4979598062769327E-2</v>
      </c>
      <c r="I13" s="64">
        <f>'Data Sheet'!H24/'Data Sheet'!H$17</f>
        <v>3.742159128425223E-2</v>
      </c>
      <c r="J13" s="64">
        <f>'Data Sheet'!I24/'Data Sheet'!I$17</f>
        <v>4.5334108827711002E-2</v>
      </c>
      <c r="K13" s="64">
        <f>'Data Sheet'!J24/'Data Sheet'!J$17</f>
        <v>4.8362901121836679E-2</v>
      </c>
      <c r="L13" s="64">
        <f>'Data Sheet'!K24/'Data Sheet'!K$17</f>
        <v>4.7325805050567722E-2</v>
      </c>
    </row>
    <row r="14" spans="2:12" x14ac:dyDescent="0.35">
      <c r="B14" s="63" t="str">
        <f>'Data Sheet'!A25</f>
        <v>Other Income</v>
      </c>
      <c r="C14" s="64">
        <f>'Data Sheet'!B25/'Data Sheet'!B$17</f>
        <v>1.8273927989867923E-2</v>
      </c>
      <c r="D14" s="64">
        <f>'Data Sheet'!C25/'Data Sheet'!C$17</f>
        <v>9.9310732873821913E-3</v>
      </c>
      <c r="E14" s="64">
        <f>'Data Sheet'!D25/'Data Sheet'!D$17</f>
        <v>8.1912999236835402E-3</v>
      </c>
      <c r="F14" s="64">
        <f>'Data Sheet'!E25/'Data Sheet'!E$17</f>
        <v>1.0657818666264484E-2</v>
      </c>
      <c r="G14" s="64">
        <f>'Data Sheet'!F25/'Data Sheet'!F$17</f>
        <v>3.6148677383686313E-3</v>
      </c>
      <c r="H14" s="64">
        <f>'Data Sheet'!G25/'Data Sheet'!G$17</f>
        <v>4.1757236014186017E-3</v>
      </c>
      <c r="I14" s="64">
        <f>'Data Sheet'!H25/'Data Sheet'!H$17</f>
        <v>7.3951799273687686E-3</v>
      </c>
      <c r="J14" s="64">
        <f>'Data Sheet'!I25/'Data Sheet'!I$17</f>
        <v>1.3199560553185989E-2</v>
      </c>
      <c r="K14" s="64">
        <f>'Data Sheet'!J25/'Data Sheet'!J$17</f>
        <v>2.2094312548917298E-2</v>
      </c>
      <c r="L14" s="64">
        <f>'Data Sheet'!K25/'Data Sheet'!K$17</f>
        <v>7.6363467146491282E-2</v>
      </c>
    </row>
    <row r="15" spans="2:12" x14ac:dyDescent="0.35">
      <c r="B15" s="63" t="str">
        <f>'Data Sheet'!A26</f>
        <v>Depreciation</v>
      </c>
      <c r="C15" s="64">
        <f>'Data Sheet'!B26/'Data Sheet'!B$17</f>
        <v>1.3026958567034558E-2</v>
      </c>
      <c r="D15" s="64">
        <f>'Data Sheet'!C26/'Data Sheet'!C$17</f>
        <v>1.4629343086228723E-2</v>
      </c>
      <c r="E15" s="64">
        <f>'Data Sheet'!D26/'Data Sheet'!D$17</f>
        <v>1.437293309590435E-2</v>
      </c>
      <c r="F15" s="64">
        <f>'Data Sheet'!E26/'Data Sheet'!E$17</f>
        <v>2.5186637508483524E-2</v>
      </c>
      <c r="G15" s="64">
        <f>'Data Sheet'!F26/'Data Sheet'!F$17</f>
        <v>2.2837458535340648E-2</v>
      </c>
      <c r="H15" s="64">
        <f>'Data Sheet'!G26/'Data Sheet'!G$17</f>
        <v>2.0802349082866187E-2</v>
      </c>
      <c r="I15" s="64">
        <f>'Data Sheet'!H26/'Data Sheet'!H$17</f>
        <v>1.8768570485308684E-2</v>
      </c>
      <c r="J15" s="64">
        <f>'Data Sheet'!I26/'Data Sheet'!I$17</f>
        <v>1.9645857567532635E-2</v>
      </c>
      <c r="K15" s="64">
        <f>'Data Sheet'!J26/'Data Sheet'!J$17</f>
        <v>2.0431124445603965E-2</v>
      </c>
      <c r="L15" s="64">
        <f>'Data Sheet'!K26/'Data Sheet'!K$17</f>
        <v>2.0676924986039586E-2</v>
      </c>
    </row>
    <row r="16" spans="2:12" x14ac:dyDescent="0.35">
      <c r="B16" s="63" t="str">
        <f>'Data Sheet'!A27</f>
        <v>Interest</v>
      </c>
      <c r="C16" s="64">
        <f>'Data Sheet'!B27/'Data Sheet'!B$17</f>
        <v>1.0554248839032628E-3</v>
      </c>
      <c r="D16" s="64">
        <f>'Data Sheet'!C27/'Data Sheet'!C$17</f>
        <v>7.3146715431143621E-4</v>
      </c>
      <c r="E16" s="64">
        <f>'Data Sheet'!D27/'Data Sheet'!D$17</f>
        <v>8.3948104807936915E-4</v>
      </c>
      <c r="F16" s="64">
        <f>'Data Sheet'!E27/'Data Sheet'!E$17</f>
        <v>2.9660910439132291E-3</v>
      </c>
      <c r="G16" s="64">
        <f>'Data Sheet'!F27/'Data Sheet'!F$17</f>
        <v>2.4878795611125285E-3</v>
      </c>
      <c r="H16" s="64">
        <f>'Data Sheet'!G27/'Data Sheet'!G$17</f>
        <v>2.0211264920108303E-3</v>
      </c>
      <c r="I16" s="64">
        <f>'Data Sheet'!H27/'Data Sheet'!H$17</f>
        <v>1.881809177946517E-3</v>
      </c>
      <c r="J16" s="64">
        <f>'Data Sheet'!I27/'Data Sheet'!I$17</f>
        <v>5.3961483779242604E-3</v>
      </c>
      <c r="K16" s="64">
        <f>'Data Sheet'!J27/'Data Sheet'!J$17</f>
        <v>6.2124967388468566E-3</v>
      </c>
      <c r="L16" s="64">
        <f>'Data Sheet'!K27/'Data Sheet'!K$17</f>
        <v>6.3597443692994977E-3</v>
      </c>
    </row>
    <row r="17" spans="2:12" x14ac:dyDescent="0.35">
      <c r="B17" s="63" t="str">
        <f>'Data Sheet'!A28</f>
        <v>Profit before tax</v>
      </c>
      <c r="C17" s="64">
        <f>'Data Sheet'!B28/'Data Sheet'!B$17</f>
        <v>0.19501236354864002</v>
      </c>
      <c r="D17" s="64">
        <f>'Data Sheet'!C28/'Data Sheet'!C$17</f>
        <v>0.20554227036151357</v>
      </c>
      <c r="E17" s="64">
        <f>'Data Sheet'!D28/'Data Sheet'!D$17</f>
        <v>0.21887560417196641</v>
      </c>
      <c r="F17" s="64">
        <f>'Data Sheet'!E28/'Data Sheet'!E$17</f>
        <v>0.23037478319885379</v>
      </c>
      <c r="G17" s="64">
        <f>'Data Sheet'!F28/'Data Sheet'!F$17</f>
        <v>0.22550395509058432</v>
      </c>
      <c r="H17" s="64">
        <f>'Data Sheet'!G28/'Data Sheet'!G$17</f>
        <v>0.22649963772260992</v>
      </c>
      <c r="I17" s="64">
        <f>'Data Sheet'!H28/'Data Sheet'!H$17</f>
        <v>0.22027071640805546</v>
      </c>
      <c r="J17" s="64">
        <f>'Data Sheet'!I28/'Data Sheet'!I$17</f>
        <v>0.22499030632027917</v>
      </c>
      <c r="K17" s="64">
        <f>'Data Sheet'!J28/'Data Sheet'!J$17</f>
        <v>0.2351128358987738</v>
      </c>
      <c r="L17" s="64">
        <f>'Data Sheet'!K28/'Data Sheet'!K$17</f>
        <v>0.28260532357138424</v>
      </c>
    </row>
    <row r="18" spans="2:12" x14ac:dyDescent="0.35">
      <c r="B18" s="63" t="str">
        <f>'Data Sheet'!A29</f>
        <v>Tax</v>
      </c>
      <c r="C18" s="64">
        <f>'Data Sheet'!B29/'Data Sheet'!B$17</f>
        <v>5.9616428442192872E-2</v>
      </c>
      <c r="D18" s="64">
        <f>'Data Sheet'!C29/'Data Sheet'!C$17</f>
        <v>5.8489238992825994E-2</v>
      </c>
      <c r="E18" s="64">
        <f>'Data Sheet'!D29/'Data Sheet'!D$17</f>
        <v>6.4716357161027735E-2</v>
      </c>
      <c r="F18" s="64">
        <f>'Data Sheet'!E29/'Data Sheet'!E$17</f>
        <v>6.0553502752431945E-2</v>
      </c>
      <c r="G18" s="64">
        <f>'Data Sheet'!F29/'Data Sheet'!F$17</f>
        <v>5.5413796036403846E-2</v>
      </c>
      <c r="H18" s="64">
        <f>'Data Sheet'!G29/'Data Sheet'!G$17</f>
        <v>5.6953819166380655E-2</v>
      </c>
      <c r="I18" s="64">
        <f>'Data Sheet'!H29/'Data Sheet'!H$17</f>
        <v>5.2839220864971941E-2</v>
      </c>
      <c r="J18" s="64">
        <f>'Data Sheet'!I29/'Data Sheet'!I$17</f>
        <v>5.8872948171125761E-2</v>
      </c>
      <c r="K18" s="64">
        <f>'Data Sheet'!J29/'Data Sheet'!J$17</f>
        <v>6.1114009913905559E-2</v>
      </c>
      <c r="L18" s="64">
        <f>'Data Sheet'!K29/'Data Sheet'!K$17</f>
        <v>4.9016566358503447E-2</v>
      </c>
    </row>
    <row r="19" spans="2:12" x14ac:dyDescent="0.35">
      <c r="B19" s="63" t="str">
        <f>'Data Sheet'!A30</f>
        <v>Net profit</v>
      </c>
      <c r="C19" s="64">
        <f>'Data Sheet'!B30/'Data Sheet'!B$17</f>
        <v>0.13497376515288584</v>
      </c>
      <c r="D19" s="64">
        <f>'Data Sheet'!C30/'Data Sheet'!C$17</f>
        <v>0.14668729779153186</v>
      </c>
      <c r="E19" s="64">
        <f>'Data Sheet'!D30/'Data Sheet'!D$17</f>
        <v>0.15400661409310609</v>
      </c>
      <c r="F19" s="64">
        <f>'Data Sheet'!E30/'Data Sheet'!E$17</f>
        <v>0.16962018952819044</v>
      </c>
      <c r="G19" s="64">
        <f>'Data Sheet'!F30/'Data Sheet'!F$17</f>
        <v>0.17000510334268945</v>
      </c>
      <c r="H19" s="64">
        <f>'Data Sheet'!G30/'Data Sheet'!G$17</f>
        <v>0.16929794455249209</v>
      </c>
      <c r="I19" s="64">
        <f>'Data Sheet'!H30/'Data Sheet'!H$17</f>
        <v>0.16705183228788378</v>
      </c>
      <c r="J19" s="64">
        <f>'Data Sheet'!I30/'Data Sheet'!I$17</f>
        <v>0.16603657748481324</v>
      </c>
      <c r="K19" s="64">
        <f>'Data Sheet'!J30/'Data Sheet'!J$17</f>
        <v>0.17364009913905556</v>
      </c>
      <c r="L19" s="64">
        <f>'Data Sheet'!K30/'Data Sheet'!K$17</f>
        <v>0.23329403735186449</v>
      </c>
    </row>
    <row r="20" spans="2:12" x14ac:dyDescent="0.35">
      <c r="B20" s="63" t="str">
        <f>'Data Sheet'!A31</f>
        <v>Dividend Amount</v>
      </c>
      <c r="C20" s="64">
        <f>'Data Sheet'!B31/'Data Sheet'!B$17</f>
        <v>0.11072914781979373</v>
      </c>
      <c r="D20" s="64">
        <f>'Data Sheet'!C31/'Data Sheet'!C$17</f>
        <v>0.12153608102405401</v>
      </c>
      <c r="E20" s="64">
        <f>'Data Sheet'!D31/'Data Sheet'!D$17</f>
        <v>0.12088527092342916</v>
      </c>
      <c r="F20" s="64">
        <f>'Data Sheet'!E31/'Data Sheet'!E$17</f>
        <v>0.13573636980619863</v>
      </c>
      <c r="G20" s="64">
        <f>'Data Sheet'!F31/'Data Sheet'!F$17</f>
        <v>0.20237943352896148</v>
      </c>
      <c r="H20" s="64">
        <f>'Data Sheet'!G31/'Data Sheet'!G$17</f>
        <v>0.15234717614308049</v>
      </c>
      <c r="I20" s="64">
        <f>'Data Sheet'!H31/'Data Sheet'!H$17</f>
        <v>0.15128755364806867</v>
      </c>
      <c r="J20" s="64">
        <f>'Data Sheet'!I31/'Data Sheet'!I$17</f>
        <v>0.1594610314075223</v>
      </c>
      <c r="K20" s="64">
        <f>'Data Sheet'!J31/'Data Sheet'!J$17</f>
        <v>0.20308831202713279</v>
      </c>
      <c r="L20" s="64">
        <f>'Data Sheet'!K31/'Data Sheet'!K$17</f>
        <v>0.14945399267853818</v>
      </c>
    </row>
    <row r="21" spans="2:12" x14ac:dyDescent="0.35">
      <c r="B21" s="63" t="str">
        <f>'Data Sheet'!A32</f>
        <v>EBITDA</v>
      </c>
      <c r="C21" s="64">
        <f>'Data Sheet'!B32/'Data Sheet'!B$17</f>
        <v>0.20909474699957784</v>
      </c>
      <c r="D21" s="64">
        <f>'Data Sheet'!C32/'Data Sheet'!C$17</f>
        <v>0.22090308060205374</v>
      </c>
      <c r="E21" s="64">
        <f>'Data Sheet'!D32/'Data Sheet'!D$17</f>
        <v>0.23408801831595014</v>
      </c>
      <c r="F21" s="64">
        <f>'Data Sheet'!E32/'Data Sheet'!E$17</f>
        <v>0.25852751175125055</v>
      </c>
      <c r="G21" s="64">
        <f>'Data Sheet'!F32/'Data Sheet'!F$17</f>
        <v>0.25082929318703751</v>
      </c>
      <c r="H21" s="64">
        <f>'Data Sheet'!G32/'Data Sheet'!G$17</f>
        <v>0.24932311329748694</v>
      </c>
      <c r="I21" s="64">
        <f>'Data Sheet'!H32/'Data Sheet'!H$17</f>
        <v>0.24092109607131065</v>
      </c>
      <c r="J21" s="64">
        <f>'Data Sheet'!I32/'Data Sheet'!I$17</f>
        <v>0.25003231226573608</v>
      </c>
      <c r="K21" s="64">
        <f>'Data Sheet'!J32/'Data Sheet'!J$17</f>
        <v>0.26175645708322465</v>
      </c>
      <c r="L21" s="64">
        <f>'Data Sheet'!K32/'Data Sheet'!K$17</f>
        <v>0.30964199292672334</v>
      </c>
    </row>
    <row r="23" spans="2:12" x14ac:dyDescent="0.35">
      <c r="B23" s="60" t="str">
        <f>"Common Size Balance Sheet"&amp;" - " &amp;'Data Sheet'!$B$1</f>
        <v>Common Size Balance Sheet - HINDUSTAN UNILEVER LTD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</row>
    <row r="25" spans="2:12" x14ac:dyDescent="0.35">
      <c r="B25" s="61" t="s">
        <v>167</v>
      </c>
      <c r="C25" s="62">
        <f>'Data Sheet'!B$16</f>
        <v>42825</v>
      </c>
      <c r="D25" s="62">
        <f>'Data Sheet'!C$16</f>
        <v>43190</v>
      </c>
      <c r="E25" s="62">
        <f>'Data Sheet'!D$16</f>
        <v>43555</v>
      </c>
      <c r="F25" s="62">
        <f>'Data Sheet'!E$16</f>
        <v>43921</v>
      </c>
      <c r="G25" s="62">
        <f>'Data Sheet'!F$16</f>
        <v>44286</v>
      </c>
      <c r="H25" s="62">
        <f>'Data Sheet'!G$16</f>
        <v>44651</v>
      </c>
      <c r="I25" s="62">
        <f>'Data Sheet'!H$16</f>
        <v>45016</v>
      </c>
      <c r="J25" s="62">
        <f>'Data Sheet'!I$16</f>
        <v>45382</v>
      </c>
      <c r="K25" s="62">
        <f>'Data Sheet'!J$16</f>
        <v>45747</v>
      </c>
      <c r="L25" s="62">
        <f>'Data Sheet'!K$16</f>
        <v>46112</v>
      </c>
    </row>
    <row r="26" spans="2:12" x14ac:dyDescent="0.35">
      <c r="B26" s="66"/>
      <c r="C26" s="67"/>
      <c r="D26" s="67"/>
      <c r="E26" s="67"/>
      <c r="F26" s="67"/>
      <c r="G26" s="67"/>
      <c r="H26" s="67"/>
      <c r="I26" s="67"/>
      <c r="J26" s="67"/>
      <c r="K26" s="67"/>
      <c r="L26" s="67"/>
    </row>
    <row r="27" spans="2:12" x14ac:dyDescent="0.35">
      <c r="B27" s="65" t="s">
        <v>84</v>
      </c>
      <c r="C27" s="68">
        <f>'Data Sheet'!B61/'Data Sheet'!B$61</f>
        <v>1</v>
      </c>
      <c r="D27" s="68">
        <f>'Data Sheet'!C61/'Data Sheet'!C$61</f>
        <v>1</v>
      </c>
      <c r="E27" s="68">
        <f>'Data Sheet'!D61/'Data Sheet'!D$61</f>
        <v>1</v>
      </c>
      <c r="F27" s="68">
        <f>'Data Sheet'!E61/'Data Sheet'!E$61</f>
        <v>1</v>
      </c>
      <c r="G27" s="68">
        <f>'Data Sheet'!F61/'Data Sheet'!F$61</f>
        <v>1</v>
      </c>
      <c r="H27" s="68">
        <f>'Data Sheet'!G61/'Data Sheet'!G$61</f>
        <v>1</v>
      </c>
      <c r="I27" s="68">
        <f>'Data Sheet'!H61/'Data Sheet'!H$61</f>
        <v>1</v>
      </c>
      <c r="J27" s="68">
        <f>'Data Sheet'!I61/'Data Sheet'!I$61</f>
        <v>1</v>
      </c>
      <c r="K27" s="68">
        <f>'Data Sheet'!J61/'Data Sheet'!J$61</f>
        <v>1</v>
      </c>
      <c r="L27" s="68">
        <f>'Data Sheet'!K61/'Data Sheet'!K$61</f>
        <v>1</v>
      </c>
    </row>
    <row r="28" spans="2:12" x14ac:dyDescent="0.35">
      <c r="B28" s="63" t="str">
        <f>'Data Sheet'!A57</f>
        <v>Equity Share Capital</v>
      </c>
      <c r="C28" s="44">
        <f>'Data Sheet'!B57/'Data Sheet'!B$61</f>
        <v>1.3752705972239909E-2</v>
      </c>
      <c r="D28" s="44">
        <f>'Data Sheet'!C57/'Data Sheet'!C$61</f>
        <v>1.2092710782667115E-2</v>
      </c>
      <c r="E28" s="44">
        <f>'Data Sheet'!D57/'Data Sheet'!D$61</f>
        <v>1.1594825272424714E-2</v>
      </c>
      <c r="F28" s="44">
        <f>'Data Sheet'!E57/'Data Sheet'!E$61</f>
        <v>1.0718007244578972E-2</v>
      </c>
      <c r="G28" s="44">
        <f>'Data Sheet'!F57/'Data Sheet'!F$61</f>
        <v>3.4186790805935409E-3</v>
      </c>
      <c r="H28" s="44">
        <f>'Data Sheet'!G57/'Data Sheet'!G$61</f>
        <v>3.3330496695316712E-3</v>
      </c>
      <c r="I28" s="44">
        <f>'Data Sheet'!H57/'Data Sheet'!H$61</f>
        <v>3.2157860886462223E-3</v>
      </c>
      <c r="J28" s="44">
        <f>'Data Sheet'!I57/'Data Sheet'!I$61</f>
        <v>2.9940501216731007E-3</v>
      </c>
      <c r="K28" s="44">
        <f>'Data Sheet'!J57/'Data Sheet'!J$61</f>
        <v>2.9425390982056772E-3</v>
      </c>
      <c r="L28" s="44">
        <f>'Data Sheet'!K57/'Data Sheet'!K$61</f>
        <v>2.9471519225463391E-3</v>
      </c>
    </row>
    <row r="29" spans="2:12" x14ac:dyDescent="0.35">
      <c r="B29" s="63" t="str">
        <f>'Data Sheet'!A58</f>
        <v>Reserves</v>
      </c>
      <c r="C29" s="44">
        <f>'Data Sheet'!B58/'Data Sheet'!B$61</f>
        <v>0.41563733604991721</v>
      </c>
      <c r="D29" s="44">
        <f>'Data Sheet'!C58/'Data Sheet'!C$61</f>
        <v>0.3955324151830702</v>
      </c>
      <c r="E29" s="44">
        <f>'Data Sheet'!D58/'Data Sheet'!D$61</f>
        <v>0.41070374147834021</v>
      </c>
      <c r="F29" s="44">
        <f>'Data Sheet'!E58/'Data Sheet'!E$61</f>
        <v>0.39760829653153379</v>
      </c>
      <c r="G29" s="44">
        <f>'Data Sheet'!F58/'Data Sheet'!F$61</f>
        <v>0.69012219959266807</v>
      </c>
      <c r="H29" s="44">
        <f>'Data Sheet'!G58/'Data Sheet'!G$61</f>
        <v>0.69250843899809944</v>
      </c>
      <c r="I29" s="44">
        <f>'Data Sheet'!H58/'Data Sheet'!H$61</f>
        <v>0.68515401562735201</v>
      </c>
      <c r="J29" s="44">
        <f>'Data Sheet'!I58/'Data Sheet'!I$61</f>
        <v>0.64955598873727527</v>
      </c>
      <c r="K29" s="44">
        <f>'Data Sheet'!J58/'Data Sheet'!J$61</f>
        <v>0.6156417865594831</v>
      </c>
      <c r="L29" s="44">
        <f>'Data Sheet'!K58/'Data Sheet'!K$61</f>
        <v>0.60829215681356441</v>
      </c>
    </row>
    <row r="30" spans="2:12" x14ac:dyDescent="0.35">
      <c r="B30" s="63" t="str">
        <f>'Data Sheet'!A59</f>
        <v>Borrowings</v>
      </c>
      <c r="C30" s="44">
        <f>'Data Sheet'!B59/'Data Sheet'!B$61</f>
        <v>1.7636572010696547E-2</v>
      </c>
      <c r="D30" s="44">
        <f>'Data Sheet'!C59/'Data Sheet'!C$61</f>
        <v>0</v>
      </c>
      <c r="E30" s="44">
        <f>'Data Sheet'!D59/'Data Sheet'!D$61</f>
        <v>5.3142949165279939E-3</v>
      </c>
      <c r="F30" s="44">
        <f>'Data Sheet'!E59/'Data Sheet'!E$61</f>
        <v>0</v>
      </c>
      <c r="G30" s="44">
        <f>'Data Sheet'!F59/'Data Sheet'!F$61</f>
        <v>0</v>
      </c>
      <c r="H30" s="44">
        <f>'Data Sheet'!G59/'Data Sheet'!G$61</f>
        <v>1.4793067256687375E-2</v>
      </c>
      <c r="I30" s="44">
        <f>'Data Sheet'!H59/'Data Sheet'!H$61</f>
        <v>1.668103507259466E-2</v>
      </c>
      <c r="J30" s="44">
        <f>'Data Sheet'!I59/'Data Sheet'!I$61</f>
        <v>1.8907108002395239E-2</v>
      </c>
      <c r="K30" s="44">
        <f>'Data Sheet'!J59/'Data Sheet'!J$61</f>
        <v>2.0635338016353005E-2</v>
      </c>
      <c r="L30" s="44">
        <f>'Data Sheet'!K59/'Data Sheet'!K$61</f>
        <v>1.8535704432014848E-2</v>
      </c>
    </row>
    <row r="31" spans="2:12" x14ac:dyDescent="0.35">
      <c r="B31" s="63" t="str">
        <f>'Data Sheet'!A60</f>
        <v>Other Liabilities</v>
      </c>
      <c r="C31" s="44">
        <f>'Data Sheet'!B60/'Data Sheet'!B$61</f>
        <v>0.55297338596714629</v>
      </c>
      <c r="D31" s="44">
        <f>'Data Sheet'!C60/'Data Sheet'!C$61</f>
        <v>0.5923748740342627</v>
      </c>
      <c r="E31" s="44">
        <f>'Data Sheet'!D60/'Data Sheet'!D$61</f>
        <v>0.57238713833270705</v>
      </c>
      <c r="F31" s="44">
        <f>'Data Sheet'!E60/'Data Sheet'!E$61</f>
        <v>0.59167369622388721</v>
      </c>
      <c r="G31" s="44">
        <f>'Data Sheet'!F60/'Data Sheet'!F$61</f>
        <v>0.30645912132673842</v>
      </c>
      <c r="H31" s="44">
        <f>'Data Sheet'!G60/'Data Sheet'!G$61</f>
        <v>0.28936544407568149</v>
      </c>
      <c r="I31" s="44">
        <f>'Data Sheet'!H60/'Data Sheet'!H$61</f>
        <v>0.29494916321140713</v>
      </c>
      <c r="J31" s="44">
        <f>'Data Sheet'!I60/'Data Sheet'!I$61</f>
        <v>0.32854285313865639</v>
      </c>
      <c r="K31" s="44">
        <f>'Data Sheet'!J60/'Data Sheet'!J$61</f>
        <v>0.36078033632595818</v>
      </c>
      <c r="L31" s="44">
        <f>'Data Sheet'!K60/'Data Sheet'!K$61</f>
        <v>0.37022498683187438</v>
      </c>
    </row>
    <row r="32" spans="2:12" x14ac:dyDescent="0.35">
      <c r="B32" s="65"/>
    </row>
    <row r="33" spans="2:12" x14ac:dyDescent="0.35">
      <c r="B33" s="65" t="s">
        <v>168</v>
      </c>
      <c r="C33" s="69">
        <f>'Data Sheet'!B66/'Data Sheet'!B$66</f>
        <v>1</v>
      </c>
      <c r="D33" s="69">
        <f>'Data Sheet'!C66/'Data Sheet'!C$66</f>
        <v>1</v>
      </c>
      <c r="E33" s="69">
        <f>'Data Sheet'!D66/'Data Sheet'!D$66</f>
        <v>1</v>
      </c>
      <c r="F33" s="69">
        <f>'Data Sheet'!E66/'Data Sheet'!E$66</f>
        <v>1</v>
      </c>
      <c r="G33" s="69">
        <f>'Data Sheet'!F66/'Data Sheet'!F$66</f>
        <v>1</v>
      </c>
      <c r="H33" s="69">
        <f>'Data Sheet'!G66/'Data Sheet'!G$66</f>
        <v>1</v>
      </c>
      <c r="I33" s="69">
        <f>'Data Sheet'!H66/'Data Sheet'!H$66</f>
        <v>1</v>
      </c>
      <c r="J33" s="69">
        <f>'Data Sheet'!I66/'Data Sheet'!I$66</f>
        <v>1</v>
      </c>
      <c r="K33" s="69">
        <f>'Data Sheet'!J66/'Data Sheet'!J$66</f>
        <v>1</v>
      </c>
      <c r="L33" s="69">
        <f>'Data Sheet'!K66/'Data Sheet'!K$66</f>
        <v>1</v>
      </c>
    </row>
    <row r="34" spans="2:12" x14ac:dyDescent="0.35">
      <c r="B34" s="63" t="str">
        <f>'Data Sheet'!A62</f>
        <v>Net Block</v>
      </c>
      <c r="C34" s="44">
        <f>'Data Sheet'!B62/'Data Sheet'!B$66</f>
        <v>0.2813574430154081</v>
      </c>
      <c r="D34" s="44">
        <f>'Data Sheet'!C62/'Data Sheet'!C$66</f>
        <v>0.25349904825887359</v>
      </c>
      <c r="E34" s="44">
        <f>'Data Sheet'!D62/'Data Sheet'!D$66</f>
        <v>0.25310000536797467</v>
      </c>
      <c r="F34" s="44">
        <f>'Data Sheet'!E62/'Data Sheet'!E$66</f>
        <v>0.27187019302337123</v>
      </c>
      <c r="G34" s="44">
        <f>'Data Sheet'!F62/'Data Sheet'!F$66</f>
        <v>0.74837067209775965</v>
      </c>
      <c r="H34" s="44">
        <f>'Data Sheet'!G62/'Data Sheet'!G$66</f>
        <v>0.73005134314810083</v>
      </c>
      <c r="I34" s="44">
        <f>'Data Sheet'!H62/'Data Sheet'!H$66</f>
        <v>0.720856083309386</v>
      </c>
      <c r="J34" s="44">
        <f>'Data Sheet'!I62/'Data Sheet'!I$66</f>
        <v>0.68473289250723035</v>
      </c>
      <c r="K34" s="44">
        <f>'Data Sheet'!J62/'Data Sheet'!J$66</f>
        <v>0.68035260383406582</v>
      </c>
      <c r="L34" s="44">
        <f>'Data Sheet'!K62/'Data Sheet'!K$66</f>
        <v>0.72020868343826028</v>
      </c>
    </row>
    <row r="35" spans="2:12" x14ac:dyDescent="0.35">
      <c r="B35" s="63" t="str">
        <f>'Data Sheet'!A63</f>
        <v>Capital Work in Progress</v>
      </c>
      <c r="C35" s="44">
        <f>'Data Sheet'!B63/'Data Sheet'!B$66</f>
        <v>1.458041512797657E-2</v>
      </c>
      <c r="D35" s="44">
        <f>'Data Sheet'!C63/'Data Sheet'!C$66</f>
        <v>2.5808979957451572E-2</v>
      </c>
      <c r="E35" s="44">
        <f>'Data Sheet'!D63/'Data Sheet'!D$66</f>
        <v>2.1793977132427936E-2</v>
      </c>
      <c r="F35" s="44">
        <f>'Data Sheet'!E63/'Data Sheet'!E$66</f>
        <v>2.9623381134322432E-2</v>
      </c>
      <c r="G35" s="44">
        <f>'Data Sheet'!F63/'Data Sheet'!F$66</f>
        <v>1.0837940064009311E-2</v>
      </c>
      <c r="H35" s="44">
        <f>'Data Sheet'!G63/'Data Sheet'!G$66</f>
        <v>1.8622528579128019E-2</v>
      </c>
      <c r="I35" s="44">
        <f>'Data Sheet'!H63/'Data Sheet'!H$66</f>
        <v>1.5490510009989463E-2</v>
      </c>
      <c r="J35" s="44">
        <f>'Data Sheet'!I63/'Data Sheet'!I$66</f>
        <v>1.305915478602097E-2</v>
      </c>
      <c r="K35" s="44">
        <f>'Data Sheet'!J63/'Data Sheet'!J$66</f>
        <v>1.263413595782778E-2</v>
      </c>
      <c r="L35" s="44">
        <f>'Data Sheet'!K63/'Data Sheet'!K$66</f>
        <v>1.1036143369535227E-2</v>
      </c>
    </row>
    <row r="36" spans="2:12" x14ac:dyDescent="0.35">
      <c r="B36" s="63" t="str">
        <f>'Data Sheet'!A64</f>
        <v>Investments</v>
      </c>
      <c r="C36" s="44">
        <f>'Data Sheet'!B64/'Data Sheet'!B$66</f>
        <v>0.24156373360499173</v>
      </c>
      <c r="D36" s="44">
        <f>'Data Sheet'!C64/'Data Sheet'!C$66</f>
        <v>0.16084425036390101</v>
      </c>
      <c r="E36" s="44">
        <f>'Data Sheet'!D64/'Data Sheet'!D$66</f>
        <v>0.14579419185141446</v>
      </c>
      <c r="F36" s="44">
        <f>'Data Sheet'!E64/'Data Sheet'!E$66</f>
        <v>6.2273606907160224E-2</v>
      </c>
      <c r="G36" s="44">
        <f>'Data Sheet'!F64/'Data Sheet'!F$66</f>
        <v>3.9409368635437883E-2</v>
      </c>
      <c r="H36" s="44">
        <f>'Data Sheet'!G64/'Data Sheet'!G$66</f>
        <v>4.9939012282642609E-2</v>
      </c>
      <c r="I36" s="44">
        <f>'Data Sheet'!H64/'Data Sheet'!H$66</f>
        <v>3.9437853223312398E-2</v>
      </c>
      <c r="J36" s="44">
        <f>'Data Sheet'!I64/'Data Sheet'!I$66</f>
        <v>5.8925454522289748E-2</v>
      </c>
      <c r="K36" s="44">
        <f>'Data Sheet'!J64/'Data Sheet'!J$66</f>
        <v>4.7706697719845238E-2</v>
      </c>
      <c r="L36" s="44">
        <f>'Data Sheet'!K64/'Data Sheet'!K$66</f>
        <v>5.4666532895231885E-2</v>
      </c>
    </row>
    <row r="37" spans="2:12" x14ac:dyDescent="0.35">
      <c r="B37" s="63" t="str">
        <f>'Data Sheet'!A65</f>
        <v>Other Assets</v>
      </c>
      <c r="C37" s="44">
        <f>'Data Sheet'!B74/'Data Sheet'!B$66</f>
        <v>0.1152425824525659</v>
      </c>
      <c r="D37" s="44">
        <f>'Data Sheet'!C74/'Data Sheet'!C$66</f>
        <v>0.15071100660620312</v>
      </c>
      <c r="E37" s="44">
        <f>'Data Sheet'!D74/'Data Sheet'!D$66</f>
        <v>0.14198292984057115</v>
      </c>
      <c r="F37" s="44">
        <f>'Data Sheet'!E74/'Data Sheet'!E$66</f>
        <v>0.18821019203096312</v>
      </c>
      <c r="G37" s="44">
        <f>'Data Sheet'!F74/'Data Sheet'!F$66</f>
        <v>5.8699447192318885E-2</v>
      </c>
      <c r="H37" s="44">
        <f>'Data Sheet'!G74/'Data Sheet'!G$66</f>
        <v>5.7030607324199359E-2</v>
      </c>
      <c r="I37" s="44">
        <f>'Data Sheet'!H74/'Data Sheet'!H$66</f>
        <v>5.9895726425551132E-2</v>
      </c>
      <c r="J37" s="44">
        <f>'Data Sheet'!I74/'Data Sheet'!I$66</f>
        <v>5.7549465530201682E-2</v>
      </c>
      <c r="K37" s="44">
        <f>'Data Sheet'!J74/'Data Sheet'!J$66</f>
        <v>6.1618020860723988E-2</v>
      </c>
      <c r="L37" s="44">
        <f>'Data Sheet'!K74/'Data Sheet'!K$66</f>
        <v>7.0919762221274676E-2</v>
      </c>
    </row>
    <row r="38" spans="2:12" x14ac:dyDescent="0.35">
      <c r="B38" s="63" t="str">
        <f>'Data Sheet'!A67</f>
        <v>Receivables</v>
      </c>
      <c r="C38" s="44">
        <f>'Data Sheet'!B67/'Data Sheet'!B$66</f>
        <v>6.9081879536482871E-2</v>
      </c>
      <c r="D38" s="44">
        <f>'Data Sheet'!C67/'Data Sheet'!C$66</f>
        <v>7.3340051505990364E-2</v>
      </c>
      <c r="E38" s="44">
        <f>'Data Sheet'!D67/'Data Sheet'!D$66</f>
        <v>9.748241988297815E-2</v>
      </c>
      <c r="F38" s="44">
        <f>'Data Sheet'!E67/'Data Sheet'!E$66</f>
        <v>5.7013844092690912E-2</v>
      </c>
      <c r="G38" s="44">
        <f>'Data Sheet'!F67/'Data Sheet'!F$66</f>
        <v>2.5574629036950829E-2</v>
      </c>
      <c r="H38" s="44">
        <f>'Data Sheet'!G67/'Data Sheet'!G$66</f>
        <v>3.1713613025841775E-2</v>
      </c>
      <c r="I38" s="44">
        <f>'Data Sheet'!H67/'Data Sheet'!H$66</f>
        <v>4.2133639859326465E-2</v>
      </c>
      <c r="J38" s="44">
        <f>'Data Sheet'!I67/'Data Sheet'!I$66</f>
        <v>3.8183694530443756E-2</v>
      </c>
      <c r="K38" s="44">
        <f>'Data Sheet'!J67/'Data Sheet'!J$66</f>
        <v>4.781939070658503E-2</v>
      </c>
      <c r="L38" s="44">
        <f>'Data Sheet'!K67/'Data Sheet'!K$66</f>
        <v>4.2376282324613108E-2</v>
      </c>
    </row>
    <row r="39" spans="2:12" x14ac:dyDescent="0.35">
      <c r="B39" s="63" t="str">
        <f>'Data Sheet'!A68</f>
        <v>Inventory</v>
      </c>
      <c r="C39" s="44">
        <f>'Data Sheet'!B68/'Data Sheet'!B$66</f>
        <v>0.16178530497898891</v>
      </c>
      <c r="D39" s="44">
        <f>'Data Sheet'!C68/'Data Sheet'!C$66</f>
        <v>0.14068973239278917</v>
      </c>
      <c r="E39" s="44">
        <f>'Data Sheet'!D68/'Data Sheet'!D$66</f>
        <v>0.13817166782972784</v>
      </c>
      <c r="F39" s="44">
        <f>'Data Sheet'!E68/'Data Sheet'!E$66</f>
        <v>0.13729965761921303</v>
      </c>
      <c r="G39" s="44">
        <f>'Data Sheet'!F68/'Data Sheet'!F$66</f>
        <v>5.2065755018911843E-2</v>
      </c>
      <c r="H39" s="44">
        <f>'Data Sheet'!G68/'Data Sheet'!G$66</f>
        <v>5.8094346580432873E-2</v>
      </c>
      <c r="I39" s="44">
        <f>'Data Sheet'!H68/'Data Sheet'!H$66</f>
        <v>5.8171517714191878E-2</v>
      </c>
      <c r="J39" s="44">
        <f>'Data Sheet'!I68/'Data Sheet'!I$66</f>
        <v>5.1242849316464729E-2</v>
      </c>
      <c r="K39" s="44">
        <f>'Data Sheet'!J68/'Data Sheet'!J$66</f>
        <v>5.5282170717353467E-2</v>
      </c>
      <c r="L39" s="44">
        <f>'Data Sheet'!K68/'Data Sheet'!K$66</f>
        <v>6.0059193859891141E-2</v>
      </c>
    </row>
    <row r="40" spans="2:12" x14ac:dyDescent="0.35">
      <c r="B40" s="63" t="str">
        <f>'Data Sheet'!A69</f>
        <v>Cash &amp; Bank</v>
      </c>
      <c r="C40" s="44">
        <f>'Data Sheet'!B69/'Data Sheet'!B$66</f>
        <v>0.11638864128358589</v>
      </c>
      <c r="D40" s="44">
        <f>'Data Sheet'!C69/'Data Sheet'!C$66</f>
        <v>0.19510693091479117</v>
      </c>
      <c r="E40" s="44">
        <f>'Data Sheet'!D69/'Data Sheet'!D$66</f>
        <v>0.20167480809490579</v>
      </c>
      <c r="F40" s="44">
        <f>'Data Sheet'!E69/'Data Sheet'!E$66</f>
        <v>0.25370912519227906</v>
      </c>
      <c r="G40" s="44">
        <f>'Data Sheet'!F69/'Data Sheet'!F$66</f>
        <v>6.5042187954611586E-2</v>
      </c>
      <c r="H40" s="44">
        <f>'Data Sheet'!G69/'Data Sheet'!G$66</f>
        <v>5.4548549059654498E-2</v>
      </c>
      <c r="I40" s="44">
        <f>'Data Sheet'!H69/'Data Sheet'!H$66</f>
        <v>6.4014669458242676E-2</v>
      </c>
      <c r="J40" s="44">
        <f>'Data Sheet'!I69/'Data Sheet'!I$66</f>
        <v>9.6306488807348795E-2</v>
      </c>
      <c r="K40" s="44">
        <f>'Data Sheet'!J69/'Data Sheet'!J$66</f>
        <v>9.4586980203598667E-2</v>
      </c>
      <c r="L40" s="44">
        <f>'Data Sheet'!K69/'Data Sheet'!K$66</f>
        <v>4.0733401891193656E-2</v>
      </c>
    </row>
    <row r="41" spans="2:12" x14ac:dyDescent="0.35">
      <c r="B41" s="63"/>
    </row>
    <row r="42" spans="2:12" x14ac:dyDescent="0.35">
      <c r="B42" s="63"/>
    </row>
    <row r="43" spans="2:12" x14ac:dyDescent="0.35">
      <c r="B43" s="63"/>
    </row>
    <row r="44" spans="2:12" x14ac:dyDescent="0.35">
      <c r="B44" s="63"/>
    </row>
    <row r="45" spans="2:12" x14ac:dyDescent="0.35">
      <c r="B45" s="63"/>
    </row>
    <row r="46" spans="2:12" x14ac:dyDescent="0.35">
      <c r="B46" s="63"/>
    </row>
  </sheetData>
  <mergeCells count="2">
    <mergeCell ref="B2:L2"/>
    <mergeCell ref="B23:L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K93"/>
  <sheetViews>
    <sheetView zoomScale="120" zoomScaleNormal="120" zoomScalePageLayoutView="120" workbookViewId="0">
      <pane xSplit="1" ySplit="1" topLeftCell="C15" activePane="bottomRight" state="frozen"/>
      <selection activeCell="C4" sqref="C4"/>
      <selection pane="topRight" activeCell="C4" sqref="C4"/>
      <selection pane="bottomLeft" activeCell="C4" sqref="C4"/>
      <selection pane="bottomRight" activeCell="B17" sqref="B17:K17"/>
    </sheetView>
  </sheetViews>
  <sheetFormatPr defaultColWidth="8.81640625" defaultRowHeight="14.5" x14ac:dyDescent="0.35"/>
  <cols>
    <col min="1" max="1" width="27.6328125" style="3" bestFit="1" customWidth="1"/>
    <col min="2" max="11" width="13.453125" style="3" bestFit="1" customWidth="1"/>
    <col min="12" max="16384" width="8.81640625" style="3"/>
  </cols>
  <sheetData>
    <row r="1" spans="1:11" s="1" customFormat="1" x14ac:dyDescent="0.35">
      <c r="A1" s="1" t="s">
        <v>0</v>
      </c>
      <c r="B1" s="1" t="s">
        <v>34</v>
      </c>
      <c r="E1" s="58" t="str">
        <f>IF(B2&lt;&gt;B3, "A NEW VERSION OF THE WORKSHEET IS AVAILABLE", "")</f>
        <v/>
      </c>
      <c r="F1" s="58"/>
      <c r="G1" s="58"/>
      <c r="H1" s="58"/>
      <c r="I1" s="58"/>
      <c r="J1" s="58"/>
      <c r="K1" s="58"/>
    </row>
    <row r="2" spans="1:11" x14ac:dyDescent="0.35">
      <c r="A2" s="1" t="s">
        <v>32</v>
      </c>
      <c r="B2" s="3">
        <v>2.1</v>
      </c>
      <c r="E2" s="59" t="s">
        <v>22</v>
      </c>
      <c r="F2" s="59"/>
      <c r="G2" s="59"/>
      <c r="H2" s="59"/>
      <c r="I2" s="59"/>
      <c r="J2" s="59"/>
      <c r="K2" s="59"/>
    </row>
    <row r="3" spans="1:11" x14ac:dyDescent="0.35">
      <c r="A3" s="1" t="s">
        <v>33</v>
      </c>
      <c r="B3" s="3">
        <v>2.1</v>
      </c>
    </row>
    <row r="4" spans="1:11" x14ac:dyDescent="0.35">
      <c r="A4" s="1"/>
    </row>
    <row r="5" spans="1:11" x14ac:dyDescent="0.35">
      <c r="A5" s="1" t="s">
        <v>35</v>
      </c>
    </row>
    <row r="6" spans="1:11" x14ac:dyDescent="0.35">
      <c r="A6" s="3" t="s">
        <v>28</v>
      </c>
      <c r="B6" s="3">
        <f>IF(B9&gt;0, B9/B8, 0)</f>
        <v>234.98651706060886</v>
      </c>
    </row>
    <row r="7" spans="1:11" x14ac:dyDescent="0.35">
      <c r="A7" s="3" t="s">
        <v>17</v>
      </c>
      <c r="B7">
        <v>1</v>
      </c>
    </row>
    <row r="8" spans="1:11" x14ac:dyDescent="0.35">
      <c r="A8" s="3" t="s">
        <v>29</v>
      </c>
      <c r="B8">
        <v>2174.6</v>
      </c>
    </row>
    <row r="9" spans="1:11" x14ac:dyDescent="0.35">
      <c r="A9" s="3" t="s">
        <v>45</v>
      </c>
      <c r="B9">
        <v>511001.68</v>
      </c>
    </row>
    <row r="15" spans="1:11" x14ac:dyDescent="0.35">
      <c r="A15" s="1" t="s">
        <v>23</v>
      </c>
    </row>
    <row r="16" spans="1:11" s="7" customFormat="1" x14ac:dyDescent="0.35">
      <c r="A16" s="6" t="s">
        <v>24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5">
      <c r="A17" s="4" t="s">
        <v>1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61328</v>
      </c>
      <c r="K17">
        <v>64468</v>
      </c>
    </row>
    <row r="18" spans="1:11" s="4" customFormat="1" x14ac:dyDescent="0.35">
      <c r="A18" s="3" t="s">
        <v>46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26602</v>
      </c>
      <c r="K18">
        <v>29158</v>
      </c>
    </row>
    <row r="19" spans="1:11" s="4" customFormat="1" x14ac:dyDescent="0.35">
      <c r="A19" s="3" t="s">
        <v>47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125</v>
      </c>
      <c r="K19">
        <v>429</v>
      </c>
    </row>
    <row r="20" spans="1:11" s="4" customFormat="1" x14ac:dyDescent="0.35">
      <c r="A20" s="3" t="s">
        <v>48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403</v>
      </c>
      <c r="K20">
        <v>426</v>
      </c>
    </row>
    <row r="21" spans="1:11" s="4" customFormat="1" x14ac:dyDescent="0.35">
      <c r="A21" s="3" t="s">
        <v>49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3687</v>
      </c>
      <c r="K21">
        <v>3304</v>
      </c>
    </row>
    <row r="22" spans="1:11" s="4" customFormat="1" x14ac:dyDescent="0.35">
      <c r="A22" s="3" t="s">
        <v>50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2952</v>
      </c>
      <c r="K22">
        <v>3175</v>
      </c>
    </row>
    <row r="23" spans="1:11" s="4" customFormat="1" x14ac:dyDescent="0.35">
      <c r="A23" s="3" t="s">
        <v>51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10145</v>
      </c>
      <c r="K23">
        <v>10744</v>
      </c>
    </row>
    <row r="24" spans="1:11" s="4" customFormat="1" x14ac:dyDescent="0.35">
      <c r="A24" s="3" t="s">
        <v>52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2966</v>
      </c>
      <c r="K24">
        <v>3051</v>
      </c>
    </row>
    <row r="25" spans="1:11" s="4" customFormat="1" x14ac:dyDescent="0.35">
      <c r="A25" s="4" t="s">
        <v>4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1355</v>
      </c>
      <c r="K25">
        <v>4923</v>
      </c>
    </row>
    <row r="26" spans="1:11" s="4" customFormat="1" x14ac:dyDescent="0.35">
      <c r="A26" s="4" t="s">
        <v>5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1253</v>
      </c>
      <c r="K26">
        <v>1333</v>
      </c>
    </row>
    <row r="27" spans="1:11" s="4" customFormat="1" x14ac:dyDescent="0.35">
      <c r="A27" s="4" t="s">
        <v>6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381</v>
      </c>
      <c r="K27">
        <v>410</v>
      </c>
    </row>
    <row r="28" spans="1:11" s="4" customFormat="1" x14ac:dyDescent="0.35">
      <c r="A28" s="4" t="s">
        <v>7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14419</v>
      </c>
      <c r="K28">
        <v>18219</v>
      </c>
    </row>
    <row r="29" spans="1:11" s="4" customFormat="1" x14ac:dyDescent="0.35">
      <c r="A29" s="4" t="s">
        <v>8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3748</v>
      </c>
      <c r="K29">
        <v>3160</v>
      </c>
    </row>
    <row r="30" spans="1:11" s="4" customFormat="1" x14ac:dyDescent="0.35">
      <c r="A30" s="4" t="s">
        <v>9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pans="1:11" s="4" customFormat="1" x14ac:dyDescent="0.35">
      <c r="A31" s="4" t="s">
        <v>36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pans="1:11" s="4" customFormat="1" x14ac:dyDescent="0.35">
      <c r="A32" s="4" t="s">
        <v>65</v>
      </c>
      <c r="B32" s="4">
        <f>B28+B27+B26</f>
        <v>6934</v>
      </c>
      <c r="C32" s="4">
        <f t="shared" ref="C32:K32" si="0">C28+C27+C26</f>
        <v>7852</v>
      </c>
      <c r="D32" s="4">
        <f t="shared" si="0"/>
        <v>9202</v>
      </c>
      <c r="E32" s="4">
        <f t="shared" si="0"/>
        <v>10285</v>
      </c>
      <c r="F32" s="4">
        <f t="shared" si="0"/>
        <v>11796</v>
      </c>
      <c r="G32" s="4">
        <f t="shared" si="0"/>
        <v>13076</v>
      </c>
      <c r="H32" s="4">
        <f t="shared" si="0"/>
        <v>14595</v>
      </c>
      <c r="I32" s="4">
        <f t="shared" si="0"/>
        <v>15476</v>
      </c>
      <c r="J32" s="4">
        <f t="shared" si="0"/>
        <v>16053</v>
      </c>
      <c r="K32" s="4">
        <f t="shared" si="0"/>
        <v>19962</v>
      </c>
    </row>
    <row r="33" spans="1:11" x14ac:dyDescent="0.35">
      <c r="A33" s="4"/>
    </row>
    <row r="34" spans="1:11" x14ac:dyDescent="0.35">
      <c r="A34" s="4"/>
    </row>
    <row r="35" spans="1:11" x14ac:dyDescent="0.35">
      <c r="A35" s="4"/>
    </row>
    <row r="36" spans="1:11" x14ac:dyDescent="0.35">
      <c r="A36" s="4"/>
    </row>
    <row r="37" spans="1:11" x14ac:dyDescent="0.35">
      <c r="A37" s="4"/>
    </row>
    <row r="38" spans="1:11" x14ac:dyDescent="0.35">
      <c r="A38" s="4"/>
    </row>
    <row r="39" spans="1:11" x14ac:dyDescent="0.35">
      <c r="A39" s="4"/>
    </row>
    <row r="40" spans="1:11" x14ac:dyDescent="0.35">
      <c r="A40" s="1" t="s">
        <v>25</v>
      </c>
    </row>
    <row r="41" spans="1:11" s="7" customFormat="1" x14ac:dyDescent="0.35">
      <c r="A41" s="6" t="s">
        <v>24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s="4" customFormat="1" x14ac:dyDescent="0.35">
      <c r="A42" s="4" t="s">
        <v>1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pans="1:11" s="4" customFormat="1" x14ac:dyDescent="0.35">
      <c r="A43" s="4" t="s">
        <v>2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pans="1:11" s="4" customFormat="1" x14ac:dyDescent="0.35">
      <c r="A44" s="4" t="s">
        <v>4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pans="1:11" s="4" customFormat="1" x14ac:dyDescent="0.35">
      <c r="A45" s="4" t="s">
        <v>5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pans="1:11" s="4" customFormat="1" x14ac:dyDescent="0.35">
      <c r="A46" s="4" t="s">
        <v>6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pans="1:11" s="4" customFormat="1" x14ac:dyDescent="0.35">
      <c r="A47" s="4" t="s">
        <v>7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pans="1:11" s="4" customFormat="1" x14ac:dyDescent="0.35">
      <c r="A48" s="4" t="s">
        <v>8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pans="1:11" s="4" customFormat="1" x14ac:dyDescent="0.35">
      <c r="A49" s="4" t="s">
        <v>9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spans="1:11" x14ac:dyDescent="0.35">
      <c r="A50" s="4" t="s">
        <v>3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1" spans="1:11" x14ac:dyDescent="0.35">
      <c r="A51" s="4"/>
    </row>
    <row r="52" spans="1:11" x14ac:dyDescent="0.35">
      <c r="A52" s="4"/>
    </row>
    <row r="53" spans="1:11" x14ac:dyDescent="0.35">
      <c r="A53" s="4"/>
    </row>
    <row r="54" spans="1:11" x14ac:dyDescent="0.35">
      <c r="A54" s="4"/>
    </row>
    <row r="55" spans="1:11" x14ac:dyDescent="0.35">
      <c r="A55" s="1" t="s">
        <v>26</v>
      </c>
    </row>
    <row r="56" spans="1:11" s="7" customFormat="1" x14ac:dyDescent="0.35">
      <c r="A56" s="6" t="s">
        <v>24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5">
      <c r="A57" s="4" t="s">
        <v>11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5">
      <c r="A58" s="4" t="s">
        <v>12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spans="1:11" x14ac:dyDescent="0.35">
      <c r="A59" s="4" t="s">
        <v>37</v>
      </c>
      <c r="B59">
        <v>277</v>
      </c>
      <c r="C59"/>
      <c r="D59">
        <v>99</v>
      </c>
      <c r="E59"/>
      <c r="F59"/>
      <c r="G59">
        <v>1043</v>
      </c>
      <c r="H59">
        <v>1219</v>
      </c>
      <c r="I59">
        <v>1484</v>
      </c>
      <c r="J59">
        <v>1648</v>
      </c>
      <c r="K59">
        <v>1478</v>
      </c>
    </row>
    <row r="60" spans="1:11" x14ac:dyDescent="0.35">
      <c r="A60" s="4" t="s">
        <v>38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29521</v>
      </c>
    </row>
    <row r="61" spans="1:11" s="1" customFormat="1" x14ac:dyDescent="0.35">
      <c r="A61" s="1" t="s">
        <v>13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79738</v>
      </c>
    </row>
    <row r="62" spans="1:11" x14ac:dyDescent="0.35">
      <c r="A62" s="4" t="s">
        <v>14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spans="1:11" x14ac:dyDescent="0.35">
      <c r="A63" s="4" t="s">
        <v>15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spans="1:11" x14ac:dyDescent="0.35">
      <c r="A64" s="4" t="s">
        <v>16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spans="1:11" x14ac:dyDescent="0.35">
      <c r="A65" s="4" t="s">
        <v>39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17071</v>
      </c>
    </row>
    <row r="66" spans="1:11" s="1" customFormat="1" x14ac:dyDescent="0.35">
      <c r="A66" s="1" t="s">
        <v>13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79738</v>
      </c>
    </row>
    <row r="67" spans="1:11" s="4" customFormat="1" x14ac:dyDescent="0.35">
      <c r="A67" s="4" t="s">
        <v>44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 x14ac:dyDescent="0.35">
      <c r="A68" s="4" t="s">
        <v>30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 x14ac:dyDescent="0.35">
      <c r="A69" s="3" t="s">
        <v>53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 x14ac:dyDescent="0.35">
      <c r="A70" s="3" t="s">
        <v>40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5">
      <c r="A71" s="3" t="s">
        <v>41</v>
      </c>
    </row>
    <row r="72" spans="1:11" x14ac:dyDescent="0.35">
      <c r="A72" s="3" t="s">
        <v>54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4" t="s">
        <v>39</v>
      </c>
      <c r="B74" s="3">
        <f>B65-SUM(B67:B69)</f>
        <v>1810</v>
      </c>
      <c r="C74" s="3">
        <f t="shared" ref="C74:K74" si="1">C65-SUM(C67:C69)</f>
        <v>2692</v>
      </c>
      <c r="D74" s="3">
        <f t="shared" si="1"/>
        <v>2645</v>
      </c>
      <c r="E74" s="3">
        <f t="shared" si="1"/>
        <v>3793</v>
      </c>
      <c r="F74" s="3">
        <f t="shared" si="1"/>
        <v>4035</v>
      </c>
      <c r="G74" s="3">
        <f t="shared" si="1"/>
        <v>4021</v>
      </c>
      <c r="H74" s="3">
        <f t="shared" si="1"/>
        <v>4377</v>
      </c>
      <c r="I74" s="3">
        <f t="shared" si="1"/>
        <v>4517</v>
      </c>
      <c r="J74" s="3">
        <f t="shared" si="1"/>
        <v>4921</v>
      </c>
      <c r="K74" s="3">
        <f t="shared" si="1"/>
        <v>5655</v>
      </c>
    </row>
    <row r="75" spans="1:11" x14ac:dyDescent="0.35">
      <c r="A75" s="4"/>
    </row>
    <row r="76" spans="1:11" x14ac:dyDescent="0.35">
      <c r="A76" s="4"/>
    </row>
    <row r="77" spans="1:11" x14ac:dyDescent="0.35">
      <c r="A77" s="4"/>
    </row>
    <row r="78" spans="1:11" x14ac:dyDescent="0.35">
      <c r="A78" s="4"/>
    </row>
    <row r="79" spans="1:11" x14ac:dyDescent="0.35">
      <c r="A79" s="4"/>
    </row>
    <row r="80" spans="1:11" x14ac:dyDescent="0.35">
      <c r="A80" s="1" t="s">
        <v>27</v>
      </c>
    </row>
    <row r="81" spans="1:11" s="7" customFormat="1" x14ac:dyDescent="0.35">
      <c r="A81" s="6" t="s">
        <v>24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5">
      <c r="A82" s="4" t="s">
        <v>18</v>
      </c>
      <c r="B82">
        <v>5185</v>
      </c>
      <c r="C82">
        <v>6059</v>
      </c>
      <c r="D82">
        <v>5800</v>
      </c>
      <c r="E82">
        <v>7623</v>
      </c>
      <c r="F82">
        <v>9163</v>
      </c>
      <c r="G82">
        <v>9048</v>
      </c>
      <c r="H82">
        <v>9991</v>
      </c>
      <c r="I82">
        <v>15469</v>
      </c>
      <c r="J82">
        <v>11886</v>
      </c>
      <c r="K82">
        <v>10999</v>
      </c>
    </row>
    <row r="83" spans="1:11" s="4" customFormat="1" x14ac:dyDescent="0.35">
      <c r="A83" s="4" t="s">
        <v>19</v>
      </c>
      <c r="B83">
        <v>-1173</v>
      </c>
      <c r="C83">
        <v>-1063</v>
      </c>
      <c r="D83">
        <v>-438</v>
      </c>
      <c r="E83">
        <v>1791</v>
      </c>
      <c r="F83">
        <v>-1228</v>
      </c>
      <c r="G83">
        <v>-1728</v>
      </c>
      <c r="H83">
        <v>-1484</v>
      </c>
      <c r="I83">
        <v>-5324</v>
      </c>
      <c r="J83">
        <v>6473</v>
      </c>
      <c r="K83">
        <v>-3676</v>
      </c>
    </row>
    <row r="84" spans="1:11" s="4" customFormat="1" x14ac:dyDescent="0.35">
      <c r="A84" s="4" t="s">
        <v>20</v>
      </c>
      <c r="B84">
        <v>-4214</v>
      </c>
      <c r="C84">
        <v>-4975</v>
      </c>
      <c r="D84">
        <v>-5390</v>
      </c>
      <c r="E84">
        <v>-6819</v>
      </c>
      <c r="F84">
        <v>-9309</v>
      </c>
      <c r="G84">
        <v>-8015</v>
      </c>
      <c r="H84">
        <v>-8953</v>
      </c>
      <c r="I84">
        <v>-10034</v>
      </c>
      <c r="J84">
        <v>-13101</v>
      </c>
      <c r="K84">
        <v>-10810</v>
      </c>
    </row>
    <row r="85" spans="1:11" s="1" customFormat="1" x14ac:dyDescent="0.35">
      <c r="A85" s="4" t="s">
        <v>21</v>
      </c>
      <c r="B85">
        <v>-202</v>
      </c>
      <c r="C85">
        <v>21</v>
      </c>
      <c r="D85">
        <v>-28</v>
      </c>
      <c r="E85">
        <v>2595</v>
      </c>
      <c r="F85">
        <v>-1374</v>
      </c>
      <c r="G85">
        <v>-695</v>
      </c>
      <c r="H85">
        <v>-446</v>
      </c>
      <c r="I85">
        <v>111</v>
      </c>
      <c r="J85">
        <v>5258</v>
      </c>
      <c r="K85">
        <v>-3487</v>
      </c>
    </row>
    <row r="86" spans="1:11" x14ac:dyDescent="0.35">
      <c r="A86" s="4"/>
    </row>
    <row r="87" spans="1:11" x14ac:dyDescent="0.35">
      <c r="A87" s="4"/>
    </row>
    <row r="88" spans="1:11" x14ac:dyDescent="0.35">
      <c r="A88" s="4"/>
    </row>
    <row r="89" spans="1:11" x14ac:dyDescent="0.35">
      <c r="A89" s="4"/>
    </row>
    <row r="90" spans="1:11" s="1" customFormat="1" x14ac:dyDescent="0.35">
      <c r="A90" s="1" t="s">
        <v>43</v>
      </c>
      <c r="B90">
        <v>872.61</v>
      </c>
      <c r="C90">
        <v>1276.1099999999999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2055.1999999999998</v>
      </c>
    </row>
    <row r="92" spans="1:11" s="1" customFormat="1" x14ac:dyDescent="0.35">
      <c r="A92" s="1" t="s">
        <v>42</v>
      </c>
    </row>
    <row r="93" spans="1:11" x14ac:dyDescent="0.35">
      <c r="A93" s="3" t="s">
        <v>55</v>
      </c>
      <c r="B93" s="9">
        <v>216.43</v>
      </c>
      <c r="C93" s="9">
        <v>216.45</v>
      </c>
      <c r="D93" s="9">
        <v>216.47</v>
      </c>
      <c r="E93" s="9">
        <v>216.48</v>
      </c>
      <c r="F93" s="9">
        <v>234.96</v>
      </c>
      <c r="G93" s="9">
        <v>234.96</v>
      </c>
      <c r="H93" s="9">
        <v>234.96</v>
      </c>
      <c r="I93" s="9">
        <v>234.96</v>
      </c>
      <c r="J93" s="9">
        <v>234.96</v>
      </c>
      <c r="K93" s="9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21E3-A930-4CE4-85CE-32A27A1120E4}">
  <sheetPr>
    <tabColor rgb="FFC00000"/>
  </sheetPr>
  <dimension ref="B2:N34"/>
  <sheetViews>
    <sheetView workbookViewId="0">
      <selection activeCell="N25" sqref="N25"/>
    </sheetView>
  </sheetViews>
  <sheetFormatPr defaultRowHeight="14.5" x14ac:dyDescent="0.35"/>
  <cols>
    <col min="2" max="2" width="26" bestFit="1" customWidth="1"/>
    <col min="3" max="14" width="6.90625" bestFit="1" customWidth="1"/>
  </cols>
  <sheetData>
    <row r="2" spans="2:14" x14ac:dyDescent="0.35">
      <c r="B2" s="25"/>
      <c r="C2" s="25">
        <v>42064</v>
      </c>
      <c r="D2" s="25">
        <v>42430</v>
      </c>
      <c r="E2" s="25">
        <v>42795</v>
      </c>
      <c r="F2" s="25">
        <v>43160</v>
      </c>
      <c r="G2" s="25">
        <v>43525</v>
      </c>
      <c r="H2" s="25">
        <v>43891</v>
      </c>
      <c r="I2" s="25">
        <v>44256</v>
      </c>
      <c r="J2" s="25">
        <v>44621</v>
      </c>
      <c r="K2" s="25">
        <v>44986</v>
      </c>
      <c r="L2" s="25">
        <v>45352</v>
      </c>
      <c r="M2" s="25">
        <v>45717</v>
      </c>
      <c r="N2" s="25">
        <v>46082</v>
      </c>
    </row>
    <row r="3" spans="2:14" x14ac:dyDescent="0.35">
      <c r="B3" t="s">
        <v>116</v>
      </c>
      <c r="C3" s="26">
        <v>3272</v>
      </c>
      <c r="D3" s="26">
        <v>3974</v>
      </c>
      <c r="E3" s="26">
        <v>4953</v>
      </c>
      <c r="F3" s="26">
        <v>5913</v>
      </c>
      <c r="G3" s="26">
        <v>5728</v>
      </c>
      <c r="H3" s="26">
        <v>7305</v>
      </c>
      <c r="I3" s="26">
        <v>8957</v>
      </c>
      <c r="J3" s="26">
        <v>8964</v>
      </c>
      <c r="K3" s="26">
        <v>9626</v>
      </c>
      <c r="L3" s="26">
        <v>14884</v>
      </c>
      <c r="M3" s="26">
        <v>11606</v>
      </c>
      <c r="N3" s="26">
        <v>10496</v>
      </c>
    </row>
    <row r="4" spans="2:14" x14ac:dyDescent="0.35">
      <c r="B4" t="s">
        <v>90</v>
      </c>
      <c r="C4" s="26">
        <v>5265</v>
      </c>
      <c r="D4" s="26">
        <v>5791</v>
      </c>
      <c r="E4" s="26">
        <v>6219</v>
      </c>
      <c r="F4" s="26">
        <v>7237</v>
      </c>
      <c r="G4" s="26">
        <v>8674</v>
      </c>
      <c r="H4" s="26">
        <v>9473</v>
      </c>
      <c r="I4" s="26">
        <v>11380</v>
      </c>
      <c r="J4" s="26">
        <v>12473</v>
      </c>
      <c r="K4" s="26">
        <v>13557</v>
      </c>
      <c r="L4" s="26">
        <v>14043</v>
      </c>
      <c r="M4" s="26">
        <v>14343</v>
      </c>
      <c r="N4" s="26">
        <v>14538</v>
      </c>
    </row>
    <row r="5" spans="2:14" x14ac:dyDescent="0.35">
      <c r="B5" t="s">
        <v>44</v>
      </c>
      <c r="C5">
        <v>31</v>
      </c>
      <c r="D5">
        <v>-279</v>
      </c>
      <c r="E5">
        <v>131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2:14" x14ac:dyDescent="0.35">
      <c r="B6" t="s">
        <v>30</v>
      </c>
      <c r="C6">
        <v>145</v>
      </c>
      <c r="D6">
        <v>74</v>
      </c>
      <c r="E6">
        <v>38</v>
      </c>
      <c r="F6">
        <v>-162</v>
      </c>
      <c r="G6">
        <v>-195</v>
      </c>
      <c r="H6">
        <v>-369</v>
      </c>
      <c r="I6">
        <v>-472</v>
      </c>
      <c r="J6">
        <v>-737</v>
      </c>
      <c r="K6">
        <v>-332</v>
      </c>
      <c r="L6">
        <v>77</v>
      </c>
      <c r="M6">
        <v>-540</v>
      </c>
      <c r="N6">
        <v>-630</v>
      </c>
    </row>
    <row r="7" spans="2:14" x14ac:dyDescent="0.35">
      <c r="B7" t="s">
        <v>91</v>
      </c>
      <c r="C7">
        <v>-373</v>
      </c>
      <c r="D7">
        <v>166</v>
      </c>
      <c r="E7">
        <v>508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 x14ac:dyDescent="0.35">
      <c r="B8" t="s">
        <v>92</v>
      </c>
      <c r="C8">
        <v>-100</v>
      </c>
      <c r="D8">
        <v>0</v>
      </c>
      <c r="E8">
        <v>-46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93</v>
      </c>
      <c r="C9">
        <v>81</v>
      </c>
      <c r="D9">
        <v>-74</v>
      </c>
      <c r="E9">
        <v>-93</v>
      </c>
      <c r="F9" s="26">
        <v>1026</v>
      </c>
      <c r="G9">
        <v>-66</v>
      </c>
      <c r="H9">
        <v>666</v>
      </c>
      <c r="I9">
        <v>416</v>
      </c>
      <c r="J9">
        <v>-52</v>
      </c>
      <c r="K9">
        <v>-531</v>
      </c>
      <c r="L9" s="26">
        <v>1059</v>
      </c>
      <c r="M9">
        <v>-14</v>
      </c>
      <c r="N9" s="26">
        <v>1314</v>
      </c>
    </row>
    <row r="10" spans="2:14" x14ac:dyDescent="0.35">
      <c r="B10" t="s">
        <v>94</v>
      </c>
      <c r="C10">
        <v>-216</v>
      </c>
      <c r="D10">
        <v>-113</v>
      </c>
      <c r="E10">
        <v>538</v>
      </c>
      <c r="F10">
        <v>864</v>
      </c>
      <c r="G10">
        <v>-261</v>
      </c>
      <c r="H10">
        <v>297</v>
      </c>
      <c r="I10">
        <v>-56</v>
      </c>
      <c r="J10">
        <v>-789</v>
      </c>
      <c r="K10">
        <v>-863</v>
      </c>
      <c r="L10" s="26">
        <v>1136</v>
      </c>
      <c r="M10">
        <v>-554</v>
      </c>
      <c r="N10">
        <v>684</v>
      </c>
    </row>
    <row r="11" spans="2:14" x14ac:dyDescent="0.35">
      <c r="B11" t="s">
        <v>95</v>
      </c>
      <c r="C11" s="26">
        <v>-1772</v>
      </c>
      <c r="D11" s="26">
        <v>-1696</v>
      </c>
      <c r="E11" s="26">
        <v>-1783</v>
      </c>
      <c r="F11" s="26">
        <v>-2188</v>
      </c>
      <c r="G11" s="26">
        <v>-2685</v>
      </c>
      <c r="H11" s="26">
        <v>-2465</v>
      </c>
      <c r="I11" s="26">
        <v>-2367</v>
      </c>
      <c r="J11" s="26">
        <v>-2720</v>
      </c>
      <c r="K11" s="26">
        <v>-3068</v>
      </c>
      <c r="L11">
        <v>-295</v>
      </c>
      <c r="M11" s="26">
        <v>-2183</v>
      </c>
      <c r="N11" s="26">
        <v>-4726</v>
      </c>
    </row>
    <row r="12" spans="2:14" x14ac:dyDescent="0.35">
      <c r="B12" t="s">
        <v>96</v>
      </c>
      <c r="C12">
        <v>-5</v>
      </c>
      <c r="D12">
        <v>-8</v>
      </c>
      <c r="E12">
        <v>-21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2:14" x14ac:dyDescent="0.35">
      <c r="B13" t="s">
        <v>117</v>
      </c>
      <c r="C13">
        <v>280</v>
      </c>
      <c r="D13">
        <v>-51</v>
      </c>
      <c r="E13">
        <v>-752</v>
      </c>
      <c r="F13" s="26">
        <v>-1261</v>
      </c>
      <c r="G13">
        <v>-264</v>
      </c>
      <c r="H13" s="26">
        <v>1926</v>
      </c>
      <c r="I13" s="26">
        <v>-1067</v>
      </c>
      <c r="J13" s="26">
        <v>-1732</v>
      </c>
      <c r="K13" s="26">
        <v>-1062</v>
      </c>
      <c r="L13" s="26">
        <v>-4971</v>
      </c>
      <c r="M13" s="26">
        <v>6763</v>
      </c>
      <c r="N13" s="26">
        <v>-3473</v>
      </c>
    </row>
    <row r="14" spans="2:14" x14ac:dyDescent="0.35">
      <c r="B14" t="s">
        <v>97</v>
      </c>
      <c r="C14">
        <v>-527</v>
      </c>
      <c r="D14">
        <v>-756</v>
      </c>
      <c r="E14" s="26">
        <v>-1024</v>
      </c>
      <c r="F14">
        <v>-853</v>
      </c>
      <c r="G14">
        <v>-728</v>
      </c>
      <c r="H14">
        <v>-765</v>
      </c>
      <c r="I14" s="26">
        <v>-4051</v>
      </c>
      <c r="J14">
        <v>-919</v>
      </c>
      <c r="K14" s="26">
        <v>-1041</v>
      </c>
      <c r="L14" s="26">
        <v>-1318</v>
      </c>
      <c r="M14" s="26">
        <v>-1149</v>
      </c>
      <c r="N14" s="26">
        <v>-1274</v>
      </c>
    </row>
    <row r="15" spans="2:14" x14ac:dyDescent="0.35">
      <c r="B15" t="s">
        <v>98</v>
      </c>
      <c r="C15">
        <v>553</v>
      </c>
      <c r="D15">
        <v>82</v>
      </c>
      <c r="E15">
        <v>172</v>
      </c>
      <c r="F15">
        <v>26</v>
      </c>
      <c r="G15">
        <v>4</v>
      </c>
      <c r="H15">
        <v>52</v>
      </c>
      <c r="I15">
        <v>97</v>
      </c>
      <c r="J15">
        <v>175</v>
      </c>
      <c r="K15">
        <v>180</v>
      </c>
      <c r="L15">
        <v>20</v>
      </c>
      <c r="M15">
        <v>13</v>
      </c>
      <c r="N15">
        <v>29</v>
      </c>
    </row>
    <row r="16" spans="2:14" x14ac:dyDescent="0.35">
      <c r="B16" t="s">
        <v>99</v>
      </c>
      <c r="C16" s="26">
        <v>-17458</v>
      </c>
      <c r="D16" s="26">
        <v>-18907</v>
      </c>
      <c r="E16" s="26">
        <v>-26230</v>
      </c>
      <c r="F16" s="26">
        <v>-47755</v>
      </c>
      <c r="G16" s="26">
        <v>-70434</v>
      </c>
      <c r="H16" s="26">
        <v>-34074</v>
      </c>
      <c r="I16" s="26">
        <v>-38450</v>
      </c>
      <c r="J16" s="26">
        <v>-47928</v>
      </c>
      <c r="K16" s="26">
        <v>-22631</v>
      </c>
      <c r="L16" s="26">
        <v>-21198</v>
      </c>
      <c r="M16" s="26">
        <v>-20943</v>
      </c>
      <c r="N16" s="26">
        <v>-23058</v>
      </c>
    </row>
    <row r="17" spans="2:14" x14ac:dyDescent="0.35">
      <c r="B17" t="s">
        <v>100</v>
      </c>
      <c r="C17" s="26">
        <v>17576</v>
      </c>
      <c r="D17" s="26">
        <v>19236</v>
      </c>
      <c r="E17" s="26">
        <v>25260</v>
      </c>
      <c r="F17" s="26">
        <v>48534</v>
      </c>
      <c r="G17" s="26">
        <v>70761</v>
      </c>
      <c r="H17" s="26">
        <v>35656</v>
      </c>
      <c r="I17" s="26">
        <v>37076</v>
      </c>
      <c r="J17" s="26">
        <v>47173</v>
      </c>
      <c r="K17" s="26">
        <v>23363</v>
      </c>
      <c r="L17" s="26">
        <v>19752</v>
      </c>
      <c r="M17" s="26">
        <v>21984</v>
      </c>
      <c r="N17" s="26">
        <v>22609</v>
      </c>
    </row>
    <row r="18" spans="2:14" x14ac:dyDescent="0.35">
      <c r="B18" t="s">
        <v>101</v>
      </c>
      <c r="C18">
        <v>225</v>
      </c>
      <c r="D18">
        <v>324</v>
      </c>
      <c r="E18">
        <v>266</v>
      </c>
      <c r="F18">
        <v>229</v>
      </c>
      <c r="G18">
        <v>308</v>
      </c>
      <c r="H18">
        <v>359</v>
      </c>
      <c r="I18">
        <v>285</v>
      </c>
      <c r="J18">
        <v>171</v>
      </c>
      <c r="K18">
        <v>273</v>
      </c>
      <c r="L18">
        <v>417</v>
      </c>
      <c r="M18">
        <v>768</v>
      </c>
      <c r="N18">
        <v>431</v>
      </c>
    </row>
    <row r="19" spans="2:14" x14ac:dyDescent="0.35">
      <c r="B19" t="s">
        <v>102</v>
      </c>
      <c r="C19">
        <v>118</v>
      </c>
      <c r="D19">
        <v>166</v>
      </c>
      <c r="E19">
        <v>178</v>
      </c>
      <c r="F19">
        <v>190</v>
      </c>
      <c r="G19">
        <v>103</v>
      </c>
      <c r="H19">
        <v>96</v>
      </c>
      <c r="I19">
        <v>102</v>
      </c>
      <c r="J19">
        <v>131</v>
      </c>
      <c r="K19">
        <v>118</v>
      </c>
      <c r="L19">
        <v>176</v>
      </c>
      <c r="M19">
        <v>169</v>
      </c>
      <c r="N19">
        <v>230</v>
      </c>
    </row>
    <row r="20" spans="2:14" x14ac:dyDescent="0.35">
      <c r="B20" t="s">
        <v>164</v>
      </c>
      <c r="C20">
        <v>-40</v>
      </c>
      <c r="D20">
        <v>0</v>
      </c>
      <c r="E20">
        <v>0</v>
      </c>
      <c r="F20">
        <v>0</v>
      </c>
      <c r="G20">
        <v>0</v>
      </c>
      <c r="H20">
        <v>0</v>
      </c>
      <c r="I20">
        <v>-60</v>
      </c>
      <c r="J20">
        <v>-300</v>
      </c>
      <c r="K20">
        <v>-264</v>
      </c>
      <c r="L20">
        <v>0</v>
      </c>
      <c r="M20">
        <v>-5</v>
      </c>
      <c r="N20" s="26">
        <v>-3530</v>
      </c>
    </row>
    <row r="21" spans="2:14" x14ac:dyDescent="0.35">
      <c r="B21" t="s">
        <v>165</v>
      </c>
      <c r="C21">
        <v>-76</v>
      </c>
      <c r="D21">
        <v>-35</v>
      </c>
      <c r="E21">
        <v>-84</v>
      </c>
      <c r="F21">
        <v>-183</v>
      </c>
      <c r="G21">
        <v>-248</v>
      </c>
      <c r="H21">
        <v>-292</v>
      </c>
      <c r="I21">
        <v>-180</v>
      </c>
      <c r="J21">
        <v>-436</v>
      </c>
      <c r="K21">
        <v>-493</v>
      </c>
      <c r="L21">
        <v>-431</v>
      </c>
      <c r="M21">
        <v>-362</v>
      </c>
      <c r="N21">
        <v>-171</v>
      </c>
    </row>
    <row r="22" spans="2:14" x14ac:dyDescent="0.35">
      <c r="B22" t="s">
        <v>166</v>
      </c>
      <c r="C22">
        <v>182</v>
      </c>
      <c r="D22">
        <v>161</v>
      </c>
      <c r="E22">
        <v>20</v>
      </c>
      <c r="F22">
        <v>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298</v>
      </c>
    </row>
    <row r="23" spans="2:14" x14ac:dyDescent="0.35">
      <c r="B23" t="s">
        <v>103</v>
      </c>
      <c r="C23">
        <v>0</v>
      </c>
      <c r="D23">
        <v>-15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2:14" x14ac:dyDescent="0.35">
      <c r="B24" t="s">
        <v>104</v>
      </c>
      <c r="C24">
        <v>-274</v>
      </c>
      <c r="D24">
        <v>-307</v>
      </c>
      <c r="E24">
        <v>690</v>
      </c>
      <c r="F24" s="26">
        <v>-1522</v>
      </c>
      <c r="G24">
        <v>-30</v>
      </c>
      <c r="H24">
        <v>894</v>
      </c>
      <c r="I24" s="26">
        <v>4114</v>
      </c>
      <c r="J24">
        <v>201</v>
      </c>
      <c r="K24">
        <v>-567</v>
      </c>
      <c r="L24" s="26">
        <v>-2389</v>
      </c>
      <c r="M24" s="26">
        <v>6288</v>
      </c>
      <c r="N24">
        <v>963</v>
      </c>
    </row>
    <row r="25" spans="2:14" x14ac:dyDescent="0.35">
      <c r="B25" t="s">
        <v>118</v>
      </c>
      <c r="C25" s="26">
        <v>-3450</v>
      </c>
      <c r="D25" s="26">
        <v>-4008</v>
      </c>
      <c r="E25" s="26">
        <v>-4264</v>
      </c>
      <c r="F25" s="26">
        <v>-4651</v>
      </c>
      <c r="G25" s="26">
        <v>-5462</v>
      </c>
      <c r="H25" s="26">
        <v>-6676</v>
      </c>
      <c r="I25" s="26">
        <v>-9280</v>
      </c>
      <c r="J25" s="26">
        <v>-7984</v>
      </c>
      <c r="K25" s="26">
        <v>-8966</v>
      </c>
      <c r="L25" s="26">
        <v>-9890</v>
      </c>
      <c r="M25" s="26">
        <v>-13031</v>
      </c>
      <c r="N25" s="26">
        <v>-10684</v>
      </c>
    </row>
    <row r="26" spans="2:14" x14ac:dyDescent="0.35">
      <c r="B26" t="s">
        <v>105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2:14" x14ac:dyDescent="0.35">
      <c r="B27" t="s">
        <v>109</v>
      </c>
      <c r="C27">
        <v>-17</v>
      </c>
      <c r="D27">
        <v>0</v>
      </c>
      <c r="E27">
        <v>0</v>
      </c>
      <c r="F27">
        <v>0</v>
      </c>
      <c r="G27">
        <v>-3</v>
      </c>
      <c r="H27">
        <v>-80</v>
      </c>
      <c r="I27">
        <v>-86</v>
      </c>
      <c r="J27">
        <v>-77</v>
      </c>
      <c r="K27">
        <v>-76</v>
      </c>
      <c r="L27">
        <v>-98</v>
      </c>
      <c r="M27">
        <v>-118</v>
      </c>
      <c r="N27">
        <v>-117</v>
      </c>
    </row>
    <row r="28" spans="2:14" x14ac:dyDescent="0.35">
      <c r="B28" t="s">
        <v>110</v>
      </c>
      <c r="C28" s="26">
        <v>-2912</v>
      </c>
      <c r="D28" s="26">
        <v>-3342</v>
      </c>
      <c r="E28" s="26">
        <v>-3561</v>
      </c>
      <c r="F28" s="26">
        <v>-3896</v>
      </c>
      <c r="G28" s="26">
        <v>-4546</v>
      </c>
      <c r="H28" s="26">
        <v>-5196</v>
      </c>
      <c r="I28" s="26">
        <v>-8811</v>
      </c>
      <c r="J28" s="26">
        <v>-7519</v>
      </c>
      <c r="K28" s="26">
        <v>-8459</v>
      </c>
      <c r="L28" s="26">
        <v>-9398</v>
      </c>
      <c r="M28" s="26">
        <v>-12453</v>
      </c>
      <c r="N28" s="26">
        <v>-10103</v>
      </c>
    </row>
    <row r="29" spans="2:14" x14ac:dyDescent="0.35">
      <c r="B29" t="s">
        <v>111</v>
      </c>
      <c r="C29">
        <v>0</v>
      </c>
      <c r="D29">
        <v>0</v>
      </c>
      <c r="E29">
        <v>0</v>
      </c>
      <c r="F29">
        <v>0</v>
      </c>
      <c r="G29">
        <v>0</v>
      </c>
      <c r="H29">
        <v>-352</v>
      </c>
      <c r="I29">
        <v>-383</v>
      </c>
      <c r="J29">
        <v>-388</v>
      </c>
      <c r="K29">
        <v>-431</v>
      </c>
      <c r="L29">
        <v>-394</v>
      </c>
      <c r="M29">
        <v>-460</v>
      </c>
      <c r="N29">
        <v>-464</v>
      </c>
    </row>
    <row r="30" spans="2:14" x14ac:dyDescent="0.35">
      <c r="B30" t="s">
        <v>113</v>
      </c>
      <c r="C30">
        <v>-524</v>
      </c>
      <c r="D30">
        <v>-666</v>
      </c>
      <c r="E30">
        <v>-703</v>
      </c>
      <c r="F30">
        <v>-755</v>
      </c>
      <c r="G30">
        <v>-913</v>
      </c>
      <c r="H30" s="26">
        <v>-1048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2:14" x14ac:dyDescent="0.35">
      <c r="B31" t="s">
        <v>21</v>
      </c>
      <c r="C31">
        <v>101</v>
      </c>
      <c r="D31">
        <v>-85</v>
      </c>
      <c r="E31">
        <v>-63</v>
      </c>
      <c r="F31">
        <v>1</v>
      </c>
      <c r="G31">
        <v>2</v>
      </c>
      <c r="H31" s="26">
        <v>2555</v>
      </c>
      <c r="I31" s="26">
        <v>-1390</v>
      </c>
      <c r="J31">
        <v>-752</v>
      </c>
      <c r="K31">
        <v>-402</v>
      </c>
      <c r="L31">
        <v>23</v>
      </c>
      <c r="M31" s="26">
        <v>5338</v>
      </c>
      <c r="N31" s="26">
        <v>-3661</v>
      </c>
    </row>
    <row r="32" spans="2:14" x14ac:dyDescent="0.35">
      <c r="B32" t="s">
        <v>114</v>
      </c>
      <c r="C32" s="26">
        <v>3298</v>
      </c>
      <c r="D32" s="26">
        <v>3300</v>
      </c>
      <c r="E32" s="26">
        <v>4101</v>
      </c>
      <c r="F32" s="26">
        <v>5086</v>
      </c>
      <c r="G32" s="26">
        <v>5004</v>
      </c>
      <c r="H32" s="26">
        <v>6592</v>
      </c>
      <c r="I32" s="26">
        <v>5003</v>
      </c>
      <c r="J32" s="26">
        <v>8220</v>
      </c>
      <c r="K32" s="26">
        <v>8765</v>
      </c>
      <c r="L32" s="26">
        <v>13586</v>
      </c>
      <c r="M32" s="26">
        <v>10470</v>
      </c>
      <c r="N32" s="26">
        <v>9251</v>
      </c>
    </row>
    <row r="33" spans="2:14" x14ac:dyDescent="0.35">
      <c r="B33" t="s">
        <v>115</v>
      </c>
      <c r="C33" s="27">
        <v>0.97</v>
      </c>
      <c r="D33" s="27">
        <v>0.99</v>
      </c>
      <c r="E33" s="27">
        <v>1.1100000000000001</v>
      </c>
      <c r="F33" s="27">
        <v>1.1100000000000001</v>
      </c>
      <c r="G33" s="27">
        <v>0.97</v>
      </c>
      <c r="H33" s="27">
        <v>1.02</v>
      </c>
      <c r="I33" s="27">
        <v>1</v>
      </c>
      <c r="J33" s="27">
        <v>0.93</v>
      </c>
      <c r="K33" s="27">
        <v>0.93</v>
      </c>
      <c r="L33" s="27">
        <v>1.07</v>
      </c>
      <c r="M33" s="27">
        <v>0.97</v>
      </c>
      <c r="N33" s="27">
        <v>1.05</v>
      </c>
    </row>
    <row r="34" spans="2:14" x14ac:dyDescent="0.35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HistoricalFS</vt:lpstr>
      <vt:lpstr>Ratio Analysis</vt:lpstr>
      <vt:lpstr>Forecasting </vt:lpstr>
      <vt:lpstr>Common Size Income Statement</vt:lpstr>
      <vt:lpstr>Data Sheet</vt:lpstr>
      <vt:lpstr>Cash Flow Data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Dhibi Kunnel</dc:creator>
  <cp:lastModifiedBy>dhibikunnel@gmail.com</cp:lastModifiedBy>
  <cp:lastPrinted>2026-07-18T18:55:47Z</cp:lastPrinted>
  <dcterms:created xsi:type="dcterms:W3CDTF">2012-08-17T09:55:37Z</dcterms:created>
  <dcterms:modified xsi:type="dcterms:W3CDTF">2026-07-27T18:42:44Z</dcterms:modified>
</cp:coreProperties>
</file>