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nib\Desktop\"/>
    </mc:Choice>
  </mc:AlternateContent>
  <xr:revisionPtr revIDLastSave="0" documentId="8_{B1ED8C82-A0E0-44AB-9BC1-0B7B063CD8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istoricalFS" sheetId="7" r:id="rId1"/>
    <sheet name="Data Sheet" sheetId="6" r:id="rId2"/>
    <sheet name="Cash Flow Data" sheetId="10" r:id="rId3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2" i="7" l="1"/>
  <c r="L102" i="7"/>
  <c r="K102" i="7"/>
  <c r="J102" i="7"/>
  <c r="I102" i="7"/>
  <c r="H102" i="7"/>
  <c r="G102" i="7"/>
  <c r="E102" i="7"/>
  <c r="D102" i="7"/>
  <c r="C102" i="7"/>
  <c r="L101" i="7"/>
  <c r="K101" i="7"/>
  <c r="J101" i="7"/>
  <c r="I101" i="7"/>
  <c r="H101" i="7"/>
  <c r="G101" i="7"/>
  <c r="F101" i="7"/>
  <c r="E101" i="7"/>
  <c r="D101" i="7"/>
  <c r="L100" i="7"/>
  <c r="K100" i="7"/>
  <c r="J100" i="7"/>
  <c r="I100" i="7"/>
  <c r="H100" i="7"/>
  <c r="G100" i="7"/>
  <c r="F100" i="7"/>
  <c r="E100" i="7"/>
  <c r="D100" i="7"/>
  <c r="L99" i="7"/>
  <c r="K99" i="7"/>
  <c r="J99" i="7"/>
  <c r="I99" i="7"/>
  <c r="H99" i="7"/>
  <c r="G99" i="7"/>
  <c r="F99" i="7"/>
  <c r="E99" i="7"/>
  <c r="D99" i="7"/>
  <c r="L98" i="7"/>
  <c r="K98" i="7"/>
  <c r="J98" i="7"/>
  <c r="I98" i="7"/>
  <c r="H98" i="7"/>
  <c r="G98" i="7"/>
  <c r="F98" i="7"/>
  <c r="E98" i="7"/>
  <c r="D98" i="7"/>
  <c r="L97" i="7"/>
  <c r="K97" i="7"/>
  <c r="J97" i="7"/>
  <c r="I97" i="7"/>
  <c r="H97" i="7"/>
  <c r="G97" i="7"/>
  <c r="F97" i="7"/>
  <c r="E97" i="7"/>
  <c r="D97" i="7"/>
  <c r="L96" i="7"/>
  <c r="K96" i="7"/>
  <c r="J96" i="7"/>
  <c r="I96" i="7"/>
  <c r="H96" i="7"/>
  <c r="G96" i="7"/>
  <c r="F96" i="7"/>
  <c r="E96" i="7"/>
  <c r="D96" i="7"/>
  <c r="L95" i="7"/>
  <c r="K95" i="7"/>
  <c r="J95" i="7"/>
  <c r="I95" i="7"/>
  <c r="H95" i="7"/>
  <c r="G95" i="7"/>
  <c r="F95" i="7"/>
  <c r="E95" i="7"/>
  <c r="D95" i="7"/>
  <c r="L94" i="7"/>
  <c r="K94" i="7"/>
  <c r="J94" i="7"/>
  <c r="I94" i="7"/>
  <c r="H94" i="7"/>
  <c r="G94" i="7"/>
  <c r="F94" i="7"/>
  <c r="E94" i="7"/>
  <c r="D94" i="7"/>
  <c r="L93" i="7"/>
  <c r="K93" i="7"/>
  <c r="J93" i="7"/>
  <c r="I93" i="7"/>
  <c r="H93" i="7"/>
  <c r="G93" i="7"/>
  <c r="F93" i="7"/>
  <c r="E93" i="7"/>
  <c r="D93" i="7"/>
  <c r="C101" i="7"/>
  <c r="C100" i="7"/>
  <c r="C99" i="7"/>
  <c r="C98" i="7"/>
  <c r="C97" i="7"/>
  <c r="C96" i="7"/>
  <c r="C95" i="7"/>
  <c r="C94" i="7"/>
  <c r="C93" i="7"/>
  <c r="L90" i="7"/>
  <c r="K90" i="7"/>
  <c r="J90" i="7"/>
  <c r="I90" i="7"/>
  <c r="H90" i="7"/>
  <c r="G90" i="7"/>
  <c r="F90" i="7"/>
  <c r="E90" i="7"/>
  <c r="D90" i="7"/>
  <c r="C90" i="7"/>
  <c r="L89" i="7"/>
  <c r="K89" i="7"/>
  <c r="J89" i="7"/>
  <c r="I89" i="7"/>
  <c r="H89" i="7"/>
  <c r="G89" i="7"/>
  <c r="F89" i="7"/>
  <c r="E89" i="7"/>
  <c r="D89" i="7"/>
  <c r="L88" i="7"/>
  <c r="K88" i="7"/>
  <c r="J88" i="7"/>
  <c r="I88" i="7"/>
  <c r="H88" i="7"/>
  <c r="G88" i="7"/>
  <c r="F88" i="7"/>
  <c r="E88" i="7"/>
  <c r="D88" i="7"/>
  <c r="L87" i="7"/>
  <c r="K87" i="7"/>
  <c r="J87" i="7"/>
  <c r="I87" i="7"/>
  <c r="H87" i="7"/>
  <c r="G87" i="7"/>
  <c r="F87" i="7"/>
  <c r="E87" i="7"/>
  <c r="D87" i="7"/>
  <c r="L86" i="7"/>
  <c r="K86" i="7"/>
  <c r="J86" i="7"/>
  <c r="I86" i="7"/>
  <c r="H86" i="7"/>
  <c r="G86" i="7"/>
  <c r="F86" i="7"/>
  <c r="E86" i="7"/>
  <c r="D86" i="7"/>
  <c r="L85" i="7"/>
  <c r="K85" i="7"/>
  <c r="J85" i="7"/>
  <c r="I85" i="7"/>
  <c r="H85" i="7"/>
  <c r="G85" i="7"/>
  <c r="F85" i="7"/>
  <c r="E85" i="7"/>
  <c r="D85" i="7"/>
  <c r="L84" i="7"/>
  <c r="K84" i="7"/>
  <c r="J84" i="7"/>
  <c r="I84" i="7"/>
  <c r="H84" i="7"/>
  <c r="G84" i="7"/>
  <c r="F84" i="7"/>
  <c r="E84" i="7"/>
  <c r="D84" i="7"/>
  <c r="L83" i="7"/>
  <c r="K83" i="7"/>
  <c r="J83" i="7"/>
  <c r="I83" i="7"/>
  <c r="H83" i="7"/>
  <c r="G83" i="7"/>
  <c r="F83" i="7"/>
  <c r="E83" i="7"/>
  <c r="D83" i="7"/>
  <c r="L82" i="7"/>
  <c r="K82" i="7"/>
  <c r="J82" i="7"/>
  <c r="I82" i="7"/>
  <c r="H82" i="7"/>
  <c r="G82" i="7"/>
  <c r="F82" i="7"/>
  <c r="E82" i="7"/>
  <c r="D82" i="7"/>
  <c r="C89" i="7"/>
  <c r="C88" i="7"/>
  <c r="C87" i="7"/>
  <c r="C86" i="7"/>
  <c r="C85" i="7"/>
  <c r="C84" i="7"/>
  <c r="C83" i="7"/>
  <c r="C82" i="7"/>
  <c r="L79" i="7"/>
  <c r="L104" i="7" s="1"/>
  <c r="K79" i="7"/>
  <c r="K104" i="7" s="1"/>
  <c r="J79" i="7"/>
  <c r="I79" i="7"/>
  <c r="H79" i="7"/>
  <c r="H104" i="7" s="1"/>
  <c r="G79" i="7"/>
  <c r="G104" i="7" s="1"/>
  <c r="F79" i="7"/>
  <c r="F104" i="7" s="1"/>
  <c r="E79" i="7"/>
  <c r="D79" i="7"/>
  <c r="D104" i="7" s="1"/>
  <c r="C79" i="7"/>
  <c r="C104" i="7" s="1"/>
  <c r="L78" i="7"/>
  <c r="K78" i="7"/>
  <c r="J78" i="7"/>
  <c r="I78" i="7"/>
  <c r="H78" i="7"/>
  <c r="G78" i="7"/>
  <c r="F78" i="7"/>
  <c r="E78" i="7"/>
  <c r="D78" i="7"/>
  <c r="L77" i="7"/>
  <c r="K77" i="7"/>
  <c r="J77" i="7"/>
  <c r="I77" i="7"/>
  <c r="H77" i="7"/>
  <c r="G77" i="7"/>
  <c r="F77" i="7"/>
  <c r="E77" i="7"/>
  <c r="D77" i="7"/>
  <c r="L76" i="7"/>
  <c r="K76" i="7"/>
  <c r="J76" i="7"/>
  <c r="I76" i="7"/>
  <c r="H76" i="7"/>
  <c r="G76" i="7"/>
  <c r="F76" i="7"/>
  <c r="E76" i="7"/>
  <c r="D76" i="7"/>
  <c r="L75" i="7"/>
  <c r="K75" i="7"/>
  <c r="J75" i="7"/>
  <c r="I75" i="7"/>
  <c r="H75" i="7"/>
  <c r="G75" i="7"/>
  <c r="F75" i="7"/>
  <c r="E75" i="7"/>
  <c r="D75" i="7"/>
  <c r="L74" i="7"/>
  <c r="K74" i="7"/>
  <c r="J74" i="7"/>
  <c r="I74" i="7"/>
  <c r="H74" i="7"/>
  <c r="G74" i="7"/>
  <c r="F74" i="7"/>
  <c r="E74" i="7"/>
  <c r="D74" i="7"/>
  <c r="L73" i="7"/>
  <c r="K73" i="7"/>
  <c r="J73" i="7"/>
  <c r="I73" i="7"/>
  <c r="H73" i="7"/>
  <c r="G73" i="7"/>
  <c r="F73" i="7"/>
  <c r="E73" i="7"/>
  <c r="D73" i="7"/>
  <c r="L72" i="7"/>
  <c r="K72" i="7"/>
  <c r="J72" i="7"/>
  <c r="I72" i="7"/>
  <c r="H72" i="7"/>
  <c r="G72" i="7"/>
  <c r="F72" i="7"/>
  <c r="E72" i="7"/>
  <c r="D72" i="7"/>
  <c r="L71" i="7"/>
  <c r="K71" i="7"/>
  <c r="J71" i="7"/>
  <c r="I71" i="7"/>
  <c r="H71" i="7"/>
  <c r="G71" i="7"/>
  <c r="F71" i="7"/>
  <c r="E71" i="7"/>
  <c r="D71" i="7"/>
  <c r="L70" i="7"/>
  <c r="K70" i="7"/>
  <c r="J70" i="7"/>
  <c r="I70" i="7"/>
  <c r="H70" i="7"/>
  <c r="G70" i="7"/>
  <c r="F70" i="7"/>
  <c r="E70" i="7"/>
  <c r="D70" i="7"/>
  <c r="C78" i="7"/>
  <c r="C77" i="7"/>
  <c r="C76" i="7"/>
  <c r="C75" i="7"/>
  <c r="C74" i="7"/>
  <c r="C73" i="7"/>
  <c r="C72" i="7"/>
  <c r="C71" i="7"/>
  <c r="C70" i="7"/>
  <c r="L57" i="7"/>
  <c r="K57" i="7"/>
  <c r="J57" i="7"/>
  <c r="I57" i="7"/>
  <c r="H57" i="7"/>
  <c r="G57" i="7"/>
  <c r="F57" i="7"/>
  <c r="E57" i="7"/>
  <c r="D57" i="7"/>
  <c r="C57" i="7"/>
  <c r="L56" i="7"/>
  <c r="K56" i="7"/>
  <c r="J56" i="7"/>
  <c r="I56" i="7"/>
  <c r="H56" i="7"/>
  <c r="G56" i="7"/>
  <c r="F56" i="7"/>
  <c r="E56" i="7"/>
  <c r="D56" i="7"/>
  <c r="C56" i="7"/>
  <c r="L64" i="7"/>
  <c r="L66" i="7" s="1"/>
  <c r="L62" i="7"/>
  <c r="K62" i="7"/>
  <c r="K64" i="7" s="1"/>
  <c r="K66" i="7" s="1"/>
  <c r="J62" i="7"/>
  <c r="J64" i="7" s="1"/>
  <c r="J66" i="7" s="1"/>
  <c r="I62" i="7"/>
  <c r="H62" i="7"/>
  <c r="H64" i="7" s="1"/>
  <c r="H66" i="7" s="1"/>
  <c r="G62" i="7"/>
  <c r="F62" i="7"/>
  <c r="F64" i="7" s="1"/>
  <c r="F66" i="7" s="1"/>
  <c r="E62" i="7"/>
  <c r="D62" i="7"/>
  <c r="D64" i="7" s="1"/>
  <c r="D66" i="7" s="1"/>
  <c r="C62" i="7"/>
  <c r="L61" i="7"/>
  <c r="K61" i="7"/>
  <c r="J61" i="7"/>
  <c r="I61" i="7"/>
  <c r="H61" i="7"/>
  <c r="G61" i="7"/>
  <c r="F61" i="7"/>
  <c r="E61" i="7"/>
  <c r="D61" i="7"/>
  <c r="L60" i="7"/>
  <c r="K60" i="7"/>
  <c r="J60" i="7"/>
  <c r="I60" i="7"/>
  <c r="H60" i="7"/>
  <c r="G60" i="7"/>
  <c r="F60" i="7"/>
  <c r="E60" i="7"/>
  <c r="D60" i="7"/>
  <c r="L59" i="7"/>
  <c r="K59" i="7"/>
  <c r="J59" i="7"/>
  <c r="I59" i="7"/>
  <c r="H59" i="7"/>
  <c r="G59" i="7"/>
  <c r="F59" i="7"/>
  <c r="E59" i="7"/>
  <c r="D59" i="7"/>
  <c r="C61" i="7"/>
  <c r="C60" i="7"/>
  <c r="C59" i="7"/>
  <c r="L55" i="7"/>
  <c r="K55" i="7"/>
  <c r="J55" i="7"/>
  <c r="I55" i="7"/>
  <c r="H55" i="7"/>
  <c r="G55" i="7"/>
  <c r="F55" i="7"/>
  <c r="E55" i="7"/>
  <c r="D55" i="7"/>
  <c r="L54" i="7"/>
  <c r="K54" i="7"/>
  <c r="J54" i="7"/>
  <c r="I54" i="7"/>
  <c r="H54" i="7"/>
  <c r="G54" i="7"/>
  <c r="F54" i="7"/>
  <c r="E54" i="7"/>
  <c r="D54" i="7"/>
  <c r="L53" i="7"/>
  <c r="K53" i="7"/>
  <c r="J53" i="7"/>
  <c r="I53" i="7"/>
  <c r="H53" i="7"/>
  <c r="G53" i="7"/>
  <c r="F53" i="7"/>
  <c r="E53" i="7"/>
  <c r="D53" i="7"/>
  <c r="C55" i="7"/>
  <c r="C54" i="7"/>
  <c r="C53" i="7"/>
  <c r="L51" i="7"/>
  <c r="K51" i="7"/>
  <c r="J51" i="7"/>
  <c r="I51" i="7"/>
  <c r="H51" i="7"/>
  <c r="G51" i="7"/>
  <c r="F51" i="7"/>
  <c r="E51" i="7"/>
  <c r="D51" i="7"/>
  <c r="L50" i="7"/>
  <c r="K50" i="7"/>
  <c r="J50" i="7"/>
  <c r="I50" i="7"/>
  <c r="H50" i="7"/>
  <c r="G50" i="7"/>
  <c r="F50" i="7"/>
  <c r="E50" i="7"/>
  <c r="D50" i="7"/>
  <c r="L49" i="7"/>
  <c r="K49" i="7"/>
  <c r="J49" i="7"/>
  <c r="I49" i="7"/>
  <c r="H49" i="7"/>
  <c r="G49" i="7"/>
  <c r="F49" i="7"/>
  <c r="E49" i="7"/>
  <c r="D49" i="7"/>
  <c r="L48" i="7"/>
  <c r="K48" i="7"/>
  <c r="J48" i="7"/>
  <c r="I48" i="7"/>
  <c r="H48" i="7"/>
  <c r="G48" i="7"/>
  <c r="F48" i="7"/>
  <c r="E48" i="7"/>
  <c r="D48" i="7"/>
  <c r="L47" i="7"/>
  <c r="K47" i="7"/>
  <c r="J47" i="7"/>
  <c r="I47" i="7"/>
  <c r="H47" i="7"/>
  <c r="G47" i="7"/>
  <c r="F47" i="7"/>
  <c r="E47" i="7"/>
  <c r="D47" i="7"/>
  <c r="C51" i="7"/>
  <c r="C50" i="7"/>
  <c r="C49" i="7"/>
  <c r="C48" i="7"/>
  <c r="C47" i="7"/>
  <c r="D36" i="7"/>
  <c r="D41" i="7" s="1"/>
  <c r="E36" i="7"/>
  <c r="E41" i="7" s="1"/>
  <c r="F36" i="7"/>
  <c r="F41" i="7" s="1"/>
  <c r="G36" i="7"/>
  <c r="G41" i="7" s="1"/>
  <c r="H36" i="7"/>
  <c r="H41" i="7" s="1"/>
  <c r="I36" i="7"/>
  <c r="I41" i="7" s="1"/>
  <c r="J36" i="7"/>
  <c r="J41" i="7" s="1"/>
  <c r="K36" i="7"/>
  <c r="K41" i="7" s="1"/>
  <c r="L36" i="7"/>
  <c r="M36" i="7" s="1"/>
  <c r="M41" i="7" s="1"/>
  <c r="C36" i="7"/>
  <c r="C41" i="7" s="1"/>
  <c r="M30" i="7"/>
  <c r="L30" i="7"/>
  <c r="K30" i="7"/>
  <c r="J30" i="7"/>
  <c r="I30" i="7"/>
  <c r="H30" i="7"/>
  <c r="G30" i="7"/>
  <c r="F30" i="7"/>
  <c r="E30" i="7"/>
  <c r="D30" i="7"/>
  <c r="C30" i="7"/>
  <c r="M24" i="7"/>
  <c r="L24" i="7"/>
  <c r="K24" i="7"/>
  <c r="J24" i="7"/>
  <c r="I24" i="7"/>
  <c r="H24" i="7"/>
  <c r="G24" i="7"/>
  <c r="F24" i="7"/>
  <c r="E24" i="7"/>
  <c r="D24" i="7"/>
  <c r="C24" i="7"/>
  <c r="M21" i="7"/>
  <c r="C21" i="7"/>
  <c r="D21" i="7"/>
  <c r="E21" i="7"/>
  <c r="F21" i="7"/>
  <c r="G21" i="7"/>
  <c r="H21" i="7"/>
  <c r="I21" i="7"/>
  <c r="J21" i="7"/>
  <c r="K21" i="7"/>
  <c r="L21" i="7"/>
  <c r="L15" i="7"/>
  <c r="K15" i="7"/>
  <c r="J15" i="7"/>
  <c r="I15" i="7"/>
  <c r="H15" i="7"/>
  <c r="G15" i="7"/>
  <c r="F15" i="7"/>
  <c r="E15" i="7"/>
  <c r="D15" i="7"/>
  <c r="C15" i="7"/>
  <c r="M9" i="7"/>
  <c r="C9" i="7"/>
  <c r="L9" i="7"/>
  <c r="K9" i="7"/>
  <c r="J9" i="7"/>
  <c r="I9" i="7"/>
  <c r="H9" i="7"/>
  <c r="G9" i="7"/>
  <c r="F9" i="7"/>
  <c r="E9" i="7"/>
  <c r="D9" i="7"/>
  <c r="M6" i="7"/>
  <c r="D6" i="7"/>
  <c r="E6" i="7"/>
  <c r="F6" i="7"/>
  <c r="F16" i="7" s="1"/>
  <c r="G6" i="7"/>
  <c r="H6" i="7"/>
  <c r="I6" i="7"/>
  <c r="J6" i="7"/>
  <c r="J16" i="7" s="1"/>
  <c r="K6" i="7"/>
  <c r="L6" i="7"/>
  <c r="C6" i="7"/>
  <c r="C12" i="7" s="1"/>
  <c r="C13" i="7" s="1"/>
  <c r="L3" i="7"/>
  <c r="D3" i="7"/>
  <c r="E3" i="7"/>
  <c r="F3" i="7"/>
  <c r="G3" i="7"/>
  <c r="H3" i="7"/>
  <c r="I3" i="7"/>
  <c r="J3" i="7"/>
  <c r="K3" i="7"/>
  <c r="C3" i="7"/>
  <c r="B2" i="7"/>
  <c r="B6" i="6"/>
  <c r="E1" i="6"/>
  <c r="C64" i="7" l="1"/>
  <c r="C66" i="7" s="1"/>
  <c r="G64" i="7"/>
  <c r="G66" i="7" s="1"/>
  <c r="J104" i="7"/>
  <c r="E104" i="7"/>
  <c r="I104" i="7"/>
  <c r="E64" i="7"/>
  <c r="E66" i="7" s="1"/>
  <c r="I64" i="7"/>
  <c r="I66" i="7" s="1"/>
  <c r="I22" i="7"/>
  <c r="E22" i="7"/>
  <c r="M12" i="7"/>
  <c r="M18" i="7" s="1"/>
  <c r="M19" i="7" s="1"/>
  <c r="L41" i="7"/>
  <c r="G10" i="7"/>
  <c r="K10" i="7"/>
  <c r="C16" i="7"/>
  <c r="G16" i="7"/>
  <c r="K16" i="7"/>
  <c r="M22" i="7"/>
  <c r="G25" i="7"/>
  <c r="K25" i="7"/>
  <c r="J22" i="7"/>
  <c r="F22" i="7"/>
  <c r="F25" i="7"/>
  <c r="J25" i="7"/>
  <c r="L10" i="7"/>
  <c r="H10" i="7"/>
  <c r="D10" i="7"/>
  <c r="E12" i="7"/>
  <c r="I12" i="7"/>
  <c r="C10" i="7"/>
  <c r="E16" i="7"/>
  <c r="I16" i="7"/>
  <c r="L22" i="7"/>
  <c r="H22" i="7"/>
  <c r="D22" i="7"/>
  <c r="D25" i="7"/>
  <c r="H25" i="7"/>
  <c r="L25" i="7"/>
  <c r="K7" i="7"/>
  <c r="G7" i="7"/>
  <c r="F10" i="7"/>
  <c r="J10" i="7"/>
  <c r="K22" i="7"/>
  <c r="G22" i="7"/>
  <c r="C22" i="7"/>
  <c r="E25" i="7"/>
  <c r="I25" i="7"/>
  <c r="M25" i="7"/>
  <c r="F7" i="7"/>
  <c r="C18" i="7"/>
  <c r="D16" i="7"/>
  <c r="H16" i="7"/>
  <c r="L16" i="7"/>
  <c r="C25" i="7"/>
  <c r="E7" i="7"/>
  <c r="I7" i="7"/>
  <c r="E10" i="7"/>
  <c r="I10" i="7"/>
  <c r="M10" i="7"/>
  <c r="F12" i="7"/>
  <c r="J12" i="7"/>
  <c r="J7" i="7"/>
  <c r="G12" i="7"/>
  <c r="K12" i="7"/>
  <c r="M16" i="7"/>
  <c r="D12" i="7"/>
  <c r="H12" i="7"/>
  <c r="L12" i="7"/>
  <c r="D7" i="7"/>
  <c r="H7" i="7"/>
  <c r="L7" i="7"/>
  <c r="M27" i="7" l="1"/>
  <c r="M31" i="7" s="1"/>
  <c r="M13" i="7"/>
  <c r="C19" i="7"/>
  <c r="C27" i="7"/>
  <c r="H18" i="7"/>
  <c r="H13" i="7"/>
  <c r="E18" i="7"/>
  <c r="E13" i="7"/>
  <c r="D18" i="7"/>
  <c r="D13" i="7"/>
  <c r="G18" i="7"/>
  <c r="G13" i="7"/>
  <c r="J18" i="7"/>
  <c r="J13" i="7"/>
  <c r="L18" i="7"/>
  <c r="L13" i="7"/>
  <c r="K18" i="7"/>
  <c r="K13" i="7"/>
  <c r="F18" i="7"/>
  <c r="F13" i="7"/>
  <c r="I18" i="7"/>
  <c r="I13" i="7"/>
  <c r="M33" i="7" l="1"/>
  <c r="M34" i="7" s="1"/>
  <c r="M28" i="7"/>
  <c r="C33" i="7"/>
  <c r="C38" i="7" s="1"/>
  <c r="C28" i="7"/>
  <c r="C31" i="7"/>
  <c r="F19" i="7"/>
  <c r="F27" i="7"/>
  <c r="G19" i="7"/>
  <c r="G27" i="7"/>
  <c r="I19" i="7"/>
  <c r="I27" i="7"/>
  <c r="K19" i="7"/>
  <c r="K27" i="7"/>
  <c r="J19" i="7"/>
  <c r="J27" i="7"/>
  <c r="D19" i="7"/>
  <c r="D27" i="7"/>
  <c r="H19" i="7"/>
  <c r="H27" i="7"/>
  <c r="M38" i="7"/>
  <c r="L19" i="7"/>
  <c r="L27" i="7"/>
  <c r="E19" i="7"/>
  <c r="E27" i="7"/>
  <c r="M42" i="7" l="1"/>
  <c r="M44" i="7" s="1"/>
  <c r="C42" i="7"/>
  <c r="C44" i="7" s="1"/>
  <c r="C34" i="7"/>
  <c r="E31" i="7"/>
  <c r="E28" i="7"/>
  <c r="E33" i="7"/>
  <c r="D31" i="7"/>
  <c r="D28" i="7"/>
  <c r="D33" i="7"/>
  <c r="K33" i="7"/>
  <c r="K31" i="7"/>
  <c r="K28" i="7"/>
  <c r="G33" i="7"/>
  <c r="G31" i="7"/>
  <c r="G28" i="7"/>
  <c r="I31" i="7"/>
  <c r="I28" i="7"/>
  <c r="I33" i="7"/>
  <c r="L28" i="7"/>
  <c r="L31" i="7"/>
  <c r="L33" i="7"/>
  <c r="H28" i="7"/>
  <c r="H31" i="7"/>
  <c r="H33" i="7"/>
  <c r="J31" i="7"/>
  <c r="J33" i="7"/>
  <c r="J28" i="7"/>
  <c r="F33" i="7"/>
  <c r="F31" i="7"/>
  <c r="F28" i="7"/>
  <c r="J38" i="7" l="1"/>
  <c r="J34" i="7"/>
  <c r="I34" i="7"/>
  <c r="I38" i="7"/>
  <c r="K38" i="7"/>
  <c r="K34" i="7"/>
  <c r="E34" i="7"/>
  <c r="E38" i="7"/>
  <c r="G38" i="7"/>
  <c r="G34" i="7"/>
  <c r="L38" i="7"/>
  <c r="L34" i="7"/>
  <c r="D34" i="7"/>
  <c r="D38" i="7"/>
  <c r="F38" i="7"/>
  <c r="F34" i="7"/>
  <c r="H34" i="7"/>
  <c r="H38" i="7"/>
  <c r="G39" i="7" l="1"/>
  <c r="G42" i="7"/>
  <c r="G44" i="7" s="1"/>
  <c r="K39" i="7"/>
  <c r="K42" i="7"/>
  <c r="K44" i="7" s="1"/>
  <c r="J39" i="7"/>
  <c r="J42" i="7"/>
  <c r="J44" i="7" s="1"/>
  <c r="E39" i="7"/>
  <c r="E42" i="7"/>
  <c r="E44" i="7" s="1"/>
  <c r="I39" i="7"/>
  <c r="I42" i="7"/>
  <c r="I44" i="7" s="1"/>
  <c r="F39" i="7"/>
  <c r="F42" i="7"/>
  <c r="F44" i="7" s="1"/>
  <c r="L39" i="7"/>
  <c r="L42" i="7"/>
  <c r="L44" i="7" s="1"/>
  <c r="M39" i="7"/>
  <c r="H39" i="7"/>
  <c r="H42" i="7"/>
  <c r="H44" i="7" s="1"/>
  <c r="D39" i="7"/>
  <c r="D42" i="7"/>
  <c r="D44" i="7" s="1"/>
</calcChain>
</file>

<file path=xl/sharedStrings.xml><?xml version="1.0" encoding="utf-8"?>
<sst xmlns="http://schemas.openxmlformats.org/spreadsheetml/2006/main" count="182" uniqueCount="126">
  <si>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</si>
  <si>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</si>
  <si>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</si>
  <si>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</si>
  <si>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</si>
  <si>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</si>
  <si>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</si>
  <si>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</si>
  <si>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</si>
  <si>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</si>
  <si>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</si>
  <si>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</si>
  <si>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</si>
  <si>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</si>
  <si>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</si>
  <si>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</si>
  <si>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</si>
  <si>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</si>
  <si>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</si>
  <si>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</si>
  <si>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</si>
  <si>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</si>
  <si>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</si>
  <si>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</si>
  <si>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</si>
  <si>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</si>
  <si>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</si>
  <si>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</si>
  <si>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</si>
  <si>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</si>
  <si>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</si>
  <si>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</si>
  <si>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ECLERX SERVICES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</si>
  <si>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</si>
  <si>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</si>
  <si>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</si>
  <si>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</si>
  <si>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</si>
  <si>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</si>
  <si>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</si>
  <si>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</si>
  <si>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</si>
  <si>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</si>
  <si>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</si>
  <si>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</si>
  <si>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</si>
  <si>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</si>
  <si>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</si>
  <si>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</si>
  <si>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</si>
  <si>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</si>
  <si>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</si>
  <si>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</si>
  <si>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</si>
  <si>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 xml:space="preserve">Years </t>
  </si>
  <si>
    <t>LTM</t>
  </si>
  <si>
    <t>#</t>
  </si>
  <si>
    <t xml:space="preserve">Income Statement </t>
  </si>
  <si>
    <t xml:space="preserve">Sales Growth </t>
  </si>
  <si>
    <t>-</t>
  </si>
  <si>
    <t>COS</t>
  </si>
  <si>
    <t>COS % Sales</t>
  </si>
  <si>
    <t xml:space="preserve">Gross Profit </t>
  </si>
  <si>
    <t xml:space="preserve">Selling &amp; General Expenses </t>
  </si>
  <si>
    <t>SG&amp;A % Sales</t>
  </si>
  <si>
    <t>EBITDA</t>
  </si>
  <si>
    <t>EBITDA % Sales</t>
  </si>
  <si>
    <t xml:space="preserve">Interest </t>
  </si>
  <si>
    <t>Interest % Sales</t>
  </si>
  <si>
    <t>Depreciation % Sales</t>
  </si>
  <si>
    <t>Gross Margins</t>
  </si>
  <si>
    <t xml:space="preserve">Earnings Before Tax </t>
  </si>
  <si>
    <t>EBT % Sales</t>
  </si>
  <si>
    <t xml:space="preserve">Tax </t>
  </si>
  <si>
    <t xml:space="preserve">Effective Tax rate </t>
  </si>
  <si>
    <t>Net Profit</t>
  </si>
  <si>
    <t>Net Margin</t>
  </si>
  <si>
    <t>No. of Equity Shares O/S</t>
  </si>
  <si>
    <t xml:space="preserve">Earnings Per Share </t>
  </si>
  <si>
    <t xml:space="preserve">Dividends Per Share </t>
  </si>
  <si>
    <t xml:space="preserve">EPS growth % </t>
  </si>
  <si>
    <t xml:space="preserve">Dividend Payout Ratio </t>
  </si>
  <si>
    <t>Retained Earnings</t>
  </si>
  <si>
    <t xml:space="preserve">Balance Sheet </t>
  </si>
  <si>
    <t>Total Liabilities</t>
  </si>
  <si>
    <t>Fixed Assets Net Block</t>
  </si>
  <si>
    <t xml:space="preserve">Total Non Current Asset </t>
  </si>
  <si>
    <t xml:space="preserve">Total Current Asset </t>
  </si>
  <si>
    <t xml:space="preserve">Total Asset 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</si>
  <si>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</si>
  <si>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</si>
  <si>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</si>
  <si>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</si>
  <si>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</si>
  <si>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</si>
  <si>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</si>
  <si>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</si>
  <si>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</si>
  <si>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</si>
  <si>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</si>
  <si>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</si>
  <si>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</si>
  <si>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</si>
  <si>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</si>
  <si>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</si>
  <si>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</si>
  <si>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</si>
  <si>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</si>
  <si>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</si>
  <si>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</si>
  <si>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</si>
  <si>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</si>
  <si>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Application money refund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</si>
  <si>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</si>
  <si>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</si>
  <si>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</si>
  <si>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</si>
  <si>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</si>
  <si>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</si>
  <si>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 xml:space="preserve">Cash Flow Statement </t>
  </si>
  <si>
    <t xml:space="preserve"> Operating Activities</t>
  </si>
  <si>
    <t xml:space="preserve">Cash from Operating Activities </t>
  </si>
  <si>
    <t xml:space="preserve">Investing Activities </t>
  </si>
  <si>
    <t xml:space="preserve">Cash from Investing Activities </t>
  </si>
  <si>
    <t>Financing Activities</t>
  </si>
  <si>
    <t xml:space="preserve">Cash from Financing  Activities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</si>
</sst>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[Red]&quot;₹&quot;\ #,##0.0"/>
    <numFmt numFmtId="167" formatCode="&quot;₹&quot;\ #,##0.0;\(&quot;₹&quot;\ #,##0.0\);\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5" fillId="4" borderId="0" xfId="0" applyFont="1" applyFill="1"/>
    <xf numFmtId="17" fontId="5" fillId="4" borderId="0" xfId="0" applyNumberFormat="1" applyFont="1" applyFill="1"/>
    <xf numFmtId="0" fontId="5" fillId="4" borderId="0" xfId="0" applyFont="1" applyFill="1" applyAlignment="1">
      <alignment horizontal="right"/>
    </xf>
    <xf numFmtId="166" fontId="0" fillId="0" borderId="0" xfId="0" applyNumberFormat="1"/>
    <xf numFmtId="0" fontId="7" fillId="0" borderId="0" xfId="0" applyFont="1"/>
    <xf numFmtId="10" fontId="7" fillId="0" borderId="0" xfId="4" applyNumberFormat="1" applyFont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5" fillId="6" borderId="0" xfId="0" applyFont="1" applyFill="1"/>
    <xf numFmtId="17" fontId="5" fillId="6" borderId="0" xfId="0" applyNumberFormat="1" applyFont="1" applyFill="1"/>
    <xf numFmtId="0" fontId="5" fillId="6" borderId="0" xfId="0" applyFont="1" applyFill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5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BF6F-DDFE-4815-AD8D-CA0C757DFF27}">
  <sheetPr>
    <tabColor rgb="FF0070C0"/>
    <pageSetUpPr autoPageBreaks="0"/>
  </sheetPr>
  <dimension ref="A2:N104"/>
  <sheetViews>
    <sheetView showGridLines="0" tabSelected="1" workbookViewId="0">
      <pane ySplit="3" topLeftCell="A56" activePane="bottomLeft" state="frozen"/>
      <selection activeCell="G30" sqref="G30"/>
      <selection pane="bottomLeft" activeCell="C57" sqref="C57"/>
    </sheetView>
  </sheetViews>
  <sheetFormatPr defaultRowHeight="14.5" x14ac:dyDescent="0.35"/>
  <cols>
    <col min="1" max="1" width="1.81640625" customWidth="1"/>
    <col min="2" max="2" width="27" bestFit="1" customWidth="1"/>
    <col min="3" max="4" width="8.36328125" bestFit="1" customWidth="1"/>
    <col min="5" max="6" width="9.54296875" bestFit="1" customWidth="1"/>
    <col min="7" max="7" width="8.36328125" bestFit="1" customWidth="1"/>
    <col min="8" max="12" width="9.54296875" bestFit="1" customWidth="1"/>
    <col min="13" max="13" width="8.54296875" bestFit="1" customWidth="1"/>
  </cols>
  <sheetData>
    <row r="2" spans="1:13" x14ac:dyDescent="0.35">
      <c r="B2" s="27" t="str">
        <f>"Historical Statement - " &amp; 'Data Sheet'!B1</f>
        <v>Historical Statement - ECLERX SERVICES LTD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35">
      <c r="B3" s="9" t="s">
        <v>54</v>
      </c>
      <c r="C3" s="10">
        <f>IFERROR('Data Sheet'!B16,0)</f>
        <v>42825</v>
      </c>
      <c r="D3" s="10">
        <f>IFERROR('Data Sheet'!C16,0)</f>
        <v>43190</v>
      </c>
      <c r="E3" s="10">
        <f>IFERROR('Data Sheet'!D16,0)</f>
        <v>43555</v>
      </c>
      <c r="F3" s="10">
        <f>IFERROR('Data Sheet'!E16,0)</f>
        <v>43921</v>
      </c>
      <c r="G3" s="10">
        <f>IFERROR('Data Sheet'!F16,0)</f>
        <v>44286</v>
      </c>
      <c r="H3" s="10">
        <f>IFERROR('Data Sheet'!G16,0)</f>
        <v>44651</v>
      </c>
      <c r="I3" s="10">
        <f>IFERROR('Data Sheet'!H16,0)</f>
        <v>45016</v>
      </c>
      <c r="J3" s="10">
        <f>IFERROR('Data Sheet'!I16,0)</f>
        <v>45382</v>
      </c>
      <c r="K3" s="10">
        <f>IFERROR('Data Sheet'!J16,0)</f>
        <v>45747</v>
      </c>
      <c r="L3" s="10">
        <f>IFERROR('Data Sheet'!K16,0)</f>
        <v>46112</v>
      </c>
      <c r="M3" s="11" t="s">
        <v>55</v>
      </c>
    </row>
    <row r="4" spans="1:13" s="17" customFormat="1" x14ac:dyDescent="0.3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spans="1:13" x14ac:dyDescent="0.35">
      <c r="A5" t="s">
        <v>56</v>
      </c>
      <c r="B5" s="15" t="s">
        <v>57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35">
      <c r="B6" t="s">
        <v>1</v>
      </c>
      <c r="C6" s="21">
        <f>IFERROR('Data Sheet'!B17,0)</f>
        <v>1330.03</v>
      </c>
      <c r="D6" s="21">
        <f>IFERROR('Data Sheet'!C17,0)</f>
        <v>1365.06</v>
      </c>
      <c r="E6" s="21">
        <f>IFERROR('Data Sheet'!D17,0)</f>
        <v>1430.59</v>
      </c>
      <c r="F6" s="21">
        <f>IFERROR('Data Sheet'!E17,0)</f>
        <v>1437.57</v>
      </c>
      <c r="G6" s="21">
        <f>IFERROR('Data Sheet'!F17,0)</f>
        <v>1564.49</v>
      </c>
      <c r="H6" s="21">
        <f>IFERROR('Data Sheet'!G17,0)</f>
        <v>2160.35</v>
      </c>
      <c r="I6" s="21">
        <f>IFERROR('Data Sheet'!H17,0)</f>
        <v>2647.9</v>
      </c>
      <c r="J6" s="21">
        <f>IFERROR('Data Sheet'!I17,0)</f>
        <v>2925.54</v>
      </c>
      <c r="K6" s="21">
        <f>IFERROR('Data Sheet'!J17,0)</f>
        <v>3365.87</v>
      </c>
      <c r="L6" s="21">
        <f>IFERROR('Data Sheet'!K17,0)</f>
        <v>4117.03</v>
      </c>
      <c r="M6" s="21">
        <f>IFERROR(SUM('Data Sheet'!H42:K42),0)</f>
        <v>4117.03</v>
      </c>
    </row>
    <row r="7" spans="1:13" x14ac:dyDescent="0.35">
      <c r="B7" s="13" t="s">
        <v>58</v>
      </c>
      <c r="C7" s="22" t="s">
        <v>59</v>
      </c>
      <c r="D7" s="14">
        <f>D6/C6-1</f>
        <v>2.6337751780034946E-2</v>
      </c>
      <c r="E7" s="14">
        <f t="shared" ref="E7:L7" si="0">E6/D6-1</f>
        <v>4.8005215887946262E-2</v>
      </c>
      <c r="F7" s="14">
        <f t="shared" si="0"/>
        <v>4.8791058234713969E-3</v>
      </c>
      <c r="G7" s="14">
        <f t="shared" si="0"/>
        <v>8.8287874677407174E-2</v>
      </c>
      <c r="H7" s="14">
        <f t="shared" si="0"/>
        <v>0.38086532991581912</v>
      </c>
      <c r="I7" s="14">
        <f t="shared" si="0"/>
        <v>0.22568102390816303</v>
      </c>
      <c r="J7" s="14">
        <f t="shared" si="0"/>
        <v>0.10485290229993582</v>
      </c>
      <c r="K7" s="14">
        <f t="shared" si="0"/>
        <v>0.15051238403850231</v>
      </c>
      <c r="L7" s="14">
        <f t="shared" si="0"/>
        <v>0.22316964113290161</v>
      </c>
      <c r="M7" s="22" t="s">
        <v>59</v>
      </c>
    </row>
    <row r="9" spans="1:13" x14ac:dyDescent="0.35">
      <c r="B9" t="s">
        <v>60</v>
      </c>
      <c r="C9" s="21">
        <f>IFERROR(SUM('Data Sheet'!B20:B22)-1*'Data Sheet'!B19,0)</f>
        <v>667.47</v>
      </c>
      <c r="D9" s="21">
        <f>IFERROR(SUM('Data Sheet'!C20:C22)-1*'Data Sheet'!C19,0)</f>
        <v>781.61</v>
      </c>
      <c r="E9" s="21">
        <f>IFERROR(SUM('Data Sheet'!D20:D22)-1*'Data Sheet'!D19,0)</f>
        <v>879.96</v>
      </c>
      <c r="F9" s="21">
        <f>IFERROR(SUM('Data Sheet'!E20:E22)-1*'Data Sheet'!E19,0)</f>
        <v>930.88</v>
      </c>
      <c r="G9" s="21">
        <f>IFERROR(SUM('Data Sheet'!F20:F22)-1*'Data Sheet'!F19,0)</f>
        <v>956.15</v>
      </c>
      <c r="H9" s="21">
        <f>IFERROR(SUM('Data Sheet'!G20:G22)-1*'Data Sheet'!G19,0)</f>
        <v>1327.6</v>
      </c>
      <c r="I9" s="21">
        <f>IFERROR(SUM('Data Sheet'!H20:H22)-1*'Data Sheet'!H19,0)</f>
        <v>1670.43</v>
      </c>
      <c r="J9" s="21">
        <f>IFERROR(SUM('Data Sheet'!I20:I22)-1*'Data Sheet'!I19,0)</f>
        <v>1867.1599999999999</v>
      </c>
      <c r="K9" s="21">
        <f>IFERROR(SUM('Data Sheet'!J20:J22)-1*'Data Sheet'!J19,0)</f>
        <v>2231.79</v>
      </c>
      <c r="L9" s="21">
        <f>IFERROR(SUM('Data Sheet'!K20:K22)-1*'Data Sheet'!K19,0)</f>
        <v>2524.5300000000002</v>
      </c>
      <c r="M9" s="21">
        <f>IFERROR(SUM('Data Sheet'!H43:K43),0)</f>
        <v>3065.58</v>
      </c>
    </row>
    <row r="10" spans="1:13" x14ac:dyDescent="0.35">
      <c r="B10" s="13" t="s">
        <v>61</v>
      </c>
      <c r="C10" s="14">
        <f>C9/C6</f>
        <v>0.50184582302654834</v>
      </c>
      <c r="D10" s="14">
        <f t="shared" ref="D10:M10" si="1">D9/D6</f>
        <v>0.57258289012937169</v>
      </c>
      <c r="E10" s="14">
        <f t="shared" si="1"/>
        <v>0.61510285965930145</v>
      </c>
      <c r="F10" s="14">
        <f t="shared" si="1"/>
        <v>0.64753716340769496</v>
      </c>
      <c r="G10" s="14">
        <f t="shared" si="1"/>
        <v>0.61115762964288678</v>
      </c>
      <c r="H10" s="14">
        <f t="shared" si="1"/>
        <v>0.61453005300067121</v>
      </c>
      <c r="I10" s="14">
        <f t="shared" si="1"/>
        <v>0.63085086294799653</v>
      </c>
      <c r="J10" s="14">
        <f t="shared" si="1"/>
        <v>0.63822747253498491</v>
      </c>
      <c r="K10" s="14">
        <f t="shared" si="1"/>
        <v>0.66306482425049096</v>
      </c>
      <c r="L10" s="14">
        <f t="shared" si="1"/>
        <v>0.6131920340633904</v>
      </c>
      <c r="M10" s="14">
        <f t="shared" si="1"/>
        <v>0.74460958506496189</v>
      </c>
    </row>
    <row r="12" spans="1:13" x14ac:dyDescent="0.35">
      <c r="B12" t="s">
        <v>62</v>
      </c>
      <c r="C12" s="21">
        <f>C6-C9</f>
        <v>662.56</v>
      </c>
      <c r="D12" s="21">
        <f t="shared" ref="D12:M12" si="2">D6-D9</f>
        <v>583.44999999999993</v>
      </c>
      <c r="E12" s="21">
        <f t="shared" si="2"/>
        <v>550.62999999999988</v>
      </c>
      <c r="F12" s="21">
        <f t="shared" si="2"/>
        <v>506.68999999999994</v>
      </c>
      <c r="G12" s="21">
        <f t="shared" si="2"/>
        <v>608.34</v>
      </c>
      <c r="H12" s="21">
        <f t="shared" si="2"/>
        <v>832.75</v>
      </c>
      <c r="I12" s="21">
        <f t="shared" si="2"/>
        <v>977.47</v>
      </c>
      <c r="J12" s="21">
        <f t="shared" si="2"/>
        <v>1058.3800000000001</v>
      </c>
      <c r="K12" s="21">
        <f t="shared" si="2"/>
        <v>1134.08</v>
      </c>
      <c r="L12" s="21">
        <f t="shared" si="2"/>
        <v>1592.4999999999995</v>
      </c>
      <c r="M12" s="21">
        <f t="shared" si="2"/>
        <v>1051.4499999999998</v>
      </c>
    </row>
    <row r="13" spans="1:13" x14ac:dyDescent="0.35">
      <c r="B13" s="13" t="s">
        <v>70</v>
      </c>
      <c r="C13" s="14">
        <f>C12/C6</f>
        <v>0.49815417697345171</v>
      </c>
      <c r="D13" s="14">
        <f t="shared" ref="D13:M13" si="3">D12/D6</f>
        <v>0.42741710987062836</v>
      </c>
      <c r="E13" s="14">
        <f t="shared" si="3"/>
        <v>0.38489714034069855</v>
      </c>
      <c r="F13" s="14">
        <f t="shared" si="3"/>
        <v>0.35246283659230504</v>
      </c>
      <c r="G13" s="14">
        <f t="shared" si="3"/>
        <v>0.38884237035711322</v>
      </c>
      <c r="H13" s="14">
        <f t="shared" si="3"/>
        <v>0.38546994699932885</v>
      </c>
      <c r="I13" s="14">
        <f t="shared" si="3"/>
        <v>0.36914913705200347</v>
      </c>
      <c r="J13" s="14">
        <f t="shared" si="3"/>
        <v>0.36177252746501504</v>
      </c>
      <c r="K13" s="14">
        <f t="shared" si="3"/>
        <v>0.33693517574950904</v>
      </c>
      <c r="L13" s="14">
        <f t="shared" si="3"/>
        <v>0.38680796593660954</v>
      </c>
      <c r="M13" s="14">
        <f t="shared" si="3"/>
        <v>0.25539041493503811</v>
      </c>
    </row>
    <row r="15" spans="1:13" x14ac:dyDescent="0.35">
      <c r="B15" t="s">
        <v>63</v>
      </c>
      <c r="C15" s="21">
        <f>IFERROR(SUM('Data Sheet'!B23:B24),0)</f>
        <v>201.29000000000002</v>
      </c>
      <c r="D15" s="21">
        <f>IFERROR(SUM('Data Sheet'!C23:C24),0)</f>
        <v>215.95</v>
      </c>
      <c r="E15" s="21">
        <f>IFERROR(SUM('Data Sheet'!D23:D24),0)</f>
        <v>241.78</v>
      </c>
      <c r="F15" s="21">
        <f>IFERROR(SUM('Data Sheet'!E23:E24),0)</f>
        <v>180.54</v>
      </c>
      <c r="G15" s="21">
        <f>IFERROR(SUM('Data Sheet'!F23:F24),0)</f>
        <v>158.81</v>
      </c>
      <c r="H15" s="21">
        <f>IFERROR(SUM('Data Sheet'!G23:G24),0)</f>
        <v>170.70000000000002</v>
      </c>
      <c r="I15" s="21">
        <f>IFERROR(SUM('Data Sheet'!H23:H24),0)</f>
        <v>254.19000000000003</v>
      </c>
      <c r="J15" s="21">
        <f>IFERROR(SUM('Data Sheet'!I23:I24),0)</f>
        <v>282.62</v>
      </c>
      <c r="K15" s="21">
        <f>IFERROR(SUM('Data Sheet'!J23:J24),0)</f>
        <v>324.77</v>
      </c>
      <c r="L15" s="21">
        <f>IFERROR(SUM('Data Sheet'!K23:K24),0)</f>
        <v>541.04999999999995</v>
      </c>
      <c r="M15" s="21"/>
    </row>
    <row r="16" spans="1:13" x14ac:dyDescent="0.35">
      <c r="B16" s="13" t="s">
        <v>64</v>
      </c>
      <c r="C16" s="14">
        <f>C15/C6</f>
        <v>0.15134245092215967</v>
      </c>
      <c r="D16" s="14">
        <f t="shared" ref="D16:M16" si="4">D15/D6</f>
        <v>0.1581981744392188</v>
      </c>
      <c r="E16" s="14">
        <f t="shared" si="4"/>
        <v>0.16900719283652199</v>
      </c>
      <c r="F16" s="14">
        <f t="shared" si="4"/>
        <v>0.12558692794090026</v>
      </c>
      <c r="G16" s="14">
        <f t="shared" si="4"/>
        <v>0.10150911798733134</v>
      </c>
      <c r="H16" s="14">
        <f t="shared" si="4"/>
        <v>7.9014974425440337E-2</v>
      </c>
      <c r="I16" s="14">
        <f t="shared" si="4"/>
        <v>9.5996827674761143E-2</v>
      </c>
      <c r="J16" s="14">
        <f t="shared" si="4"/>
        <v>9.6604387566056188E-2</v>
      </c>
      <c r="K16" s="14">
        <f t="shared" si="4"/>
        <v>9.6489169219250895E-2</v>
      </c>
      <c r="L16" s="14">
        <f t="shared" si="4"/>
        <v>0.13141755100157151</v>
      </c>
      <c r="M16" s="14">
        <f t="shared" si="4"/>
        <v>0</v>
      </c>
    </row>
    <row r="17" spans="2:14" x14ac:dyDescent="0.35">
      <c r="C17" s="12"/>
    </row>
    <row r="18" spans="2:14" x14ac:dyDescent="0.35">
      <c r="B18" t="s">
        <v>65</v>
      </c>
      <c r="C18" s="21">
        <f>C12-C15</f>
        <v>461.26999999999992</v>
      </c>
      <c r="D18" s="21">
        <f t="shared" ref="D18:M18" si="5">D12-D15</f>
        <v>367.49999999999994</v>
      </c>
      <c r="E18" s="21">
        <f t="shared" si="5"/>
        <v>308.84999999999991</v>
      </c>
      <c r="F18" s="21">
        <f t="shared" si="5"/>
        <v>326.14999999999998</v>
      </c>
      <c r="G18" s="21">
        <f t="shared" si="5"/>
        <v>449.53000000000003</v>
      </c>
      <c r="H18" s="21">
        <f t="shared" si="5"/>
        <v>662.05</v>
      </c>
      <c r="I18" s="21">
        <f t="shared" si="5"/>
        <v>723.28</v>
      </c>
      <c r="J18" s="21">
        <f t="shared" si="5"/>
        <v>775.7600000000001</v>
      </c>
      <c r="K18" s="21">
        <f t="shared" si="5"/>
        <v>809.31</v>
      </c>
      <c r="L18" s="21">
        <f t="shared" si="5"/>
        <v>1051.4499999999996</v>
      </c>
      <c r="M18" s="21">
        <f t="shared" si="5"/>
        <v>1051.4499999999998</v>
      </c>
    </row>
    <row r="19" spans="2:14" x14ac:dyDescent="0.35">
      <c r="B19" s="13" t="s">
        <v>66</v>
      </c>
      <c r="C19" s="14">
        <f>C18/C6</f>
        <v>0.34681172605129201</v>
      </c>
      <c r="D19" s="14">
        <f t="shared" ref="D19:M19" si="6">D18/D6</f>
        <v>0.26921893543140957</v>
      </c>
      <c r="E19" s="14">
        <f t="shared" si="6"/>
        <v>0.21588994750417656</v>
      </c>
      <c r="F19" s="14">
        <f t="shared" si="6"/>
        <v>0.22687590865140481</v>
      </c>
      <c r="G19" s="14">
        <f t="shared" si="6"/>
        <v>0.28733325236978186</v>
      </c>
      <c r="H19" s="14">
        <f t="shared" si="6"/>
        <v>0.30645497257388848</v>
      </c>
      <c r="I19" s="14">
        <f t="shared" si="6"/>
        <v>0.27315230937724233</v>
      </c>
      <c r="J19" s="14">
        <f t="shared" si="6"/>
        <v>0.26516813989895888</v>
      </c>
      <c r="K19" s="14">
        <f t="shared" si="6"/>
        <v>0.24044600653025813</v>
      </c>
      <c r="L19" s="14">
        <f t="shared" si="6"/>
        <v>0.25539041493503806</v>
      </c>
      <c r="M19" s="14">
        <f t="shared" si="6"/>
        <v>0.25539041493503811</v>
      </c>
    </row>
    <row r="21" spans="2:14" x14ac:dyDescent="0.35">
      <c r="B21" t="s">
        <v>67</v>
      </c>
      <c r="C21" s="21">
        <f>IFERROR(('Data Sheet'!B27),0)</f>
        <v>1.57</v>
      </c>
      <c r="D21" s="21">
        <f>IFERROR(('Data Sheet'!C27),0)</f>
        <v>1.17</v>
      </c>
      <c r="E21" s="21">
        <f>IFERROR(('Data Sheet'!D27),0)</f>
        <v>1.27</v>
      </c>
      <c r="F21" s="21">
        <f>IFERROR(('Data Sheet'!E27),0)</f>
        <v>20.16</v>
      </c>
      <c r="G21" s="21">
        <f>IFERROR(('Data Sheet'!F27),0)</f>
        <v>21.42</v>
      </c>
      <c r="H21" s="21">
        <f>IFERROR(('Data Sheet'!G27),0)</f>
        <v>22.76</v>
      </c>
      <c r="I21" s="21">
        <f>IFERROR(('Data Sheet'!H27),0)</f>
        <v>22.19</v>
      </c>
      <c r="J21" s="21">
        <f>IFERROR(('Data Sheet'!I27),0)</f>
        <v>24.45</v>
      </c>
      <c r="K21" s="21">
        <f>IFERROR(('Data Sheet'!J27),0)</f>
        <v>36.119999999999997</v>
      </c>
      <c r="L21" s="21">
        <f>IFERROR(('Data Sheet'!K27),0)</f>
        <v>42.14</v>
      </c>
      <c r="M21" s="21">
        <f>IFERROR(SUM('Data Sheet'!H46:K46),0)</f>
        <v>42.14</v>
      </c>
    </row>
    <row r="22" spans="2:14" x14ac:dyDescent="0.35">
      <c r="B22" s="13" t="s">
        <v>68</v>
      </c>
      <c r="C22" s="14">
        <f>C21/C6</f>
        <v>1.1804245017029691E-3</v>
      </c>
      <c r="D22" s="14">
        <f t="shared" ref="D22:M22" si="7">D21/D6</f>
        <v>8.5710518218979378E-4</v>
      </c>
      <c r="E22" s="14">
        <f t="shared" si="7"/>
        <v>8.8774561544537577E-4</v>
      </c>
      <c r="F22" s="14">
        <f t="shared" si="7"/>
        <v>1.40236649345771E-2</v>
      </c>
      <c r="G22" s="14">
        <f t="shared" si="7"/>
        <v>1.3691362680490128E-2</v>
      </c>
      <c r="H22" s="14">
        <f t="shared" si="7"/>
        <v>1.0535329923392045E-2</v>
      </c>
      <c r="I22" s="14">
        <f t="shared" si="7"/>
        <v>8.3802258393443855E-3</v>
      </c>
      <c r="J22" s="14">
        <f t="shared" si="7"/>
        <v>8.3574314485530873E-3</v>
      </c>
      <c r="K22" s="14">
        <f t="shared" si="7"/>
        <v>1.0731252246818802E-2</v>
      </c>
      <c r="L22" s="14">
        <f t="shared" si="7"/>
        <v>1.0235533867861055E-2</v>
      </c>
      <c r="M22" s="14">
        <f t="shared" si="7"/>
        <v>1.0235533867861055E-2</v>
      </c>
    </row>
    <row r="24" spans="2:14" x14ac:dyDescent="0.35">
      <c r="B24" s="4" t="s">
        <v>5</v>
      </c>
      <c r="C24" s="21">
        <f>IFERROR(('Data Sheet'!B26),0)</f>
        <v>51.8</v>
      </c>
      <c r="D24" s="21">
        <f>IFERROR(('Data Sheet'!C26),0)</f>
        <v>48.24</v>
      </c>
      <c r="E24" s="21">
        <f>IFERROR(('Data Sheet'!D26),0)</f>
        <v>44.69</v>
      </c>
      <c r="F24" s="21">
        <f>IFERROR(('Data Sheet'!E26),0)</f>
        <v>70.900000000000006</v>
      </c>
      <c r="G24" s="21">
        <f>IFERROR(('Data Sheet'!F26),0)</f>
        <v>81.59</v>
      </c>
      <c r="H24" s="21">
        <f>IFERROR(('Data Sheet'!G26),0)</f>
        <v>103.19</v>
      </c>
      <c r="I24" s="21">
        <f>IFERROR(('Data Sheet'!H26),0)</f>
        <v>114.01</v>
      </c>
      <c r="J24" s="21">
        <f>IFERROR(('Data Sheet'!I26),0)</f>
        <v>125.77</v>
      </c>
      <c r="K24" s="21">
        <f>IFERROR(('Data Sheet'!J26),0)</f>
        <v>141.19</v>
      </c>
      <c r="L24" s="21">
        <f>IFERROR(('Data Sheet'!K26),0)</f>
        <v>175.37</v>
      </c>
      <c r="M24" s="21">
        <f>IFERROR(SUM('Data Sheet'!H45:K45),0)</f>
        <v>175.37</v>
      </c>
    </row>
    <row r="25" spans="2:14" x14ac:dyDescent="0.35">
      <c r="B25" s="13" t="s">
        <v>69</v>
      </c>
      <c r="C25" s="14">
        <f>C24/C6</f>
        <v>3.8946489928798594E-2</v>
      </c>
      <c r="D25" s="14">
        <f t="shared" ref="D25:M25" si="8">D24/D6</f>
        <v>3.5339105973363809E-2</v>
      </c>
      <c r="E25" s="14">
        <f t="shared" si="8"/>
        <v>3.1238859491538457E-2</v>
      </c>
      <c r="F25" s="14">
        <f t="shared" si="8"/>
        <v>4.9319337493130777E-2</v>
      </c>
      <c r="G25" s="14">
        <f t="shared" si="8"/>
        <v>5.2151180256824907E-2</v>
      </c>
      <c r="H25" s="14">
        <f t="shared" si="8"/>
        <v>4.7765408382900922E-2</v>
      </c>
      <c r="I25" s="14">
        <f t="shared" si="8"/>
        <v>4.3056761962309759E-2</v>
      </c>
      <c r="J25" s="14">
        <f t="shared" si="8"/>
        <v>4.2990353917567357E-2</v>
      </c>
      <c r="K25" s="14">
        <f t="shared" si="8"/>
        <v>4.1947549964793648E-2</v>
      </c>
      <c r="L25" s="14">
        <f t="shared" si="8"/>
        <v>4.2596240493753997E-2</v>
      </c>
      <c r="M25" s="14">
        <f t="shared" si="8"/>
        <v>4.2596240493753997E-2</v>
      </c>
      <c r="N25" s="13"/>
    </row>
    <row r="27" spans="2:14" x14ac:dyDescent="0.35">
      <c r="B27" t="s">
        <v>71</v>
      </c>
      <c r="C27" s="21">
        <f>IFERROR(C18-SUM(C21,C24),0)</f>
        <v>407.89999999999992</v>
      </c>
      <c r="D27" s="21">
        <f t="shared" ref="D27:M27" si="9">IFERROR(D18-SUM(D21,D24),0)</f>
        <v>318.08999999999992</v>
      </c>
      <c r="E27" s="21">
        <f t="shared" si="9"/>
        <v>262.88999999999993</v>
      </c>
      <c r="F27" s="21">
        <f t="shared" si="9"/>
        <v>235.08999999999997</v>
      </c>
      <c r="G27" s="21">
        <f t="shared" si="9"/>
        <v>346.52000000000004</v>
      </c>
      <c r="H27" s="21">
        <f t="shared" si="9"/>
        <v>536.09999999999991</v>
      </c>
      <c r="I27" s="21">
        <f t="shared" si="9"/>
        <v>587.07999999999993</v>
      </c>
      <c r="J27" s="21">
        <f t="shared" si="9"/>
        <v>625.54000000000008</v>
      </c>
      <c r="K27" s="21">
        <f t="shared" si="9"/>
        <v>632</v>
      </c>
      <c r="L27" s="21">
        <f t="shared" si="9"/>
        <v>833.9399999999996</v>
      </c>
      <c r="M27" s="21">
        <f t="shared" si="9"/>
        <v>833.93999999999983</v>
      </c>
    </row>
    <row r="28" spans="2:14" x14ac:dyDescent="0.35">
      <c r="B28" s="13" t="s">
        <v>72</v>
      </c>
      <c r="C28" s="14">
        <f>C27/C6</f>
        <v>0.30668481162079048</v>
      </c>
      <c r="D28" s="14">
        <f t="shared" ref="D28:M28" si="10">D27/D6</f>
        <v>0.23302272427585596</v>
      </c>
      <c r="E28" s="14">
        <f t="shared" si="10"/>
        <v>0.18376334239719272</v>
      </c>
      <c r="F28" s="14">
        <f t="shared" si="10"/>
        <v>0.16353290622369693</v>
      </c>
      <c r="G28" s="14">
        <f t="shared" si="10"/>
        <v>0.22149070943246682</v>
      </c>
      <c r="H28" s="14">
        <f t="shared" si="10"/>
        <v>0.2481542342675955</v>
      </c>
      <c r="I28" s="14">
        <f t="shared" si="10"/>
        <v>0.22171532157558815</v>
      </c>
      <c r="J28" s="14">
        <f t="shared" si="10"/>
        <v>0.2138203545328384</v>
      </c>
      <c r="K28" s="14">
        <f t="shared" si="10"/>
        <v>0.18776720431864571</v>
      </c>
      <c r="L28" s="14">
        <f t="shared" si="10"/>
        <v>0.20255864057342299</v>
      </c>
      <c r="M28" s="14">
        <f t="shared" si="10"/>
        <v>0.20255864057342304</v>
      </c>
    </row>
    <row r="30" spans="2:14" x14ac:dyDescent="0.35">
      <c r="B30" t="s">
        <v>73</v>
      </c>
      <c r="C30" s="21">
        <f>IFERROR('Data Sheet'!B29,0)</f>
        <v>81.91</v>
      </c>
      <c r="D30" s="21">
        <f>IFERROR('Data Sheet'!C29,0)</f>
        <v>89.58</v>
      </c>
      <c r="E30" s="21">
        <f>IFERROR('Data Sheet'!D29,0)</f>
        <v>83.17</v>
      </c>
      <c r="F30" s="21">
        <f>IFERROR('Data Sheet'!E29,0)</f>
        <v>71.55</v>
      </c>
      <c r="G30" s="21">
        <f>IFERROR('Data Sheet'!F29,0)</f>
        <v>97.8</v>
      </c>
      <c r="H30" s="21">
        <f>IFERROR('Data Sheet'!G29,0)</f>
        <v>142.72999999999999</v>
      </c>
      <c r="I30" s="21">
        <f>IFERROR('Data Sheet'!H29,0)</f>
        <v>163.80000000000001</v>
      </c>
      <c r="J30" s="21">
        <f>IFERROR('Data Sheet'!I29,0)</f>
        <v>177.61</v>
      </c>
      <c r="K30" s="21">
        <f>IFERROR('Data Sheet'!J29,0)</f>
        <v>177.27</v>
      </c>
      <c r="L30" s="21">
        <f>IFERROR('Data Sheet'!K29,0)</f>
        <v>228.65</v>
      </c>
      <c r="M30" s="21">
        <f>IFERROR(SUM('Data Sheet'!H48:K48),0)</f>
        <v>228.64</v>
      </c>
    </row>
    <row r="31" spans="2:14" x14ac:dyDescent="0.35">
      <c r="B31" s="13" t="s">
        <v>74</v>
      </c>
      <c r="C31" s="14">
        <f>C30/C27</f>
        <v>0.20080902181907334</v>
      </c>
      <c r="D31" s="14">
        <f>D30/D27</f>
        <v>0.28161840988399517</v>
      </c>
      <c r="E31" s="14">
        <f t="shared" ref="E31:M31" si="11">E30/E27</f>
        <v>0.31636806268781631</v>
      </c>
      <c r="F31" s="14">
        <f>F30/F27</f>
        <v>0.3043515249478923</v>
      </c>
      <c r="G31" s="14">
        <f t="shared" si="11"/>
        <v>0.282234791642618</v>
      </c>
      <c r="H31" s="14">
        <f t="shared" si="11"/>
        <v>0.26623764223092711</v>
      </c>
      <c r="I31" s="14">
        <f t="shared" si="11"/>
        <v>0.27900797165633306</v>
      </c>
      <c r="J31" s="14">
        <f t="shared" si="11"/>
        <v>0.28393068388911979</v>
      </c>
      <c r="K31" s="14">
        <f t="shared" si="11"/>
        <v>0.28049050632911393</v>
      </c>
      <c r="L31" s="14">
        <f t="shared" si="11"/>
        <v>0.27418039667122351</v>
      </c>
      <c r="M31" s="14">
        <f t="shared" si="11"/>
        <v>0.27416840540086823</v>
      </c>
    </row>
    <row r="33" spans="1:13" x14ac:dyDescent="0.35">
      <c r="B33" t="s">
        <v>75</v>
      </c>
      <c r="C33" s="21">
        <f>IFERROR((C27-C30),0)</f>
        <v>325.9899999999999</v>
      </c>
      <c r="D33" s="21">
        <f t="shared" ref="D33:M33" si="12">IFERROR((D27-D30),0)</f>
        <v>228.50999999999993</v>
      </c>
      <c r="E33" s="21">
        <f t="shared" si="12"/>
        <v>179.71999999999991</v>
      </c>
      <c r="F33" s="21">
        <f t="shared" si="12"/>
        <v>163.53999999999996</v>
      </c>
      <c r="G33" s="21">
        <f t="shared" si="12"/>
        <v>248.72000000000003</v>
      </c>
      <c r="H33" s="21">
        <f t="shared" si="12"/>
        <v>393.36999999999989</v>
      </c>
      <c r="I33" s="21">
        <f t="shared" si="12"/>
        <v>423.27999999999992</v>
      </c>
      <c r="J33" s="21">
        <f t="shared" si="12"/>
        <v>447.93000000000006</v>
      </c>
      <c r="K33" s="21">
        <f t="shared" si="12"/>
        <v>454.73</v>
      </c>
      <c r="L33" s="21">
        <f t="shared" si="12"/>
        <v>605.28999999999962</v>
      </c>
      <c r="M33" s="21">
        <f t="shared" si="12"/>
        <v>605.29999999999984</v>
      </c>
    </row>
    <row r="34" spans="1:13" x14ac:dyDescent="0.35">
      <c r="B34" s="13" t="s">
        <v>76</v>
      </c>
      <c r="C34" s="14">
        <f>C33/C6</f>
        <v>0.24509973459245274</v>
      </c>
      <c r="D34" s="14">
        <f t="shared" ref="D34:M34" si="13">D33/D6</f>
        <v>0.16739923519845276</v>
      </c>
      <c r="E34" s="14">
        <f t="shared" si="13"/>
        <v>0.125626489769955</v>
      </c>
      <c r="F34" s="14">
        <f t="shared" si="13"/>
        <v>0.11376141683535408</v>
      </c>
      <c r="G34" s="14">
        <f t="shared" si="13"/>
        <v>0.15897832520501889</v>
      </c>
      <c r="H34" s="14">
        <f t="shared" si="13"/>
        <v>0.18208623602656973</v>
      </c>
      <c r="I34" s="14">
        <f t="shared" si="13"/>
        <v>0.1598549794176517</v>
      </c>
      <c r="J34" s="14">
        <f t="shared" si="13"/>
        <v>0.15311019504091555</v>
      </c>
      <c r="K34" s="14">
        <f t="shared" si="13"/>
        <v>0.13510028610730659</v>
      </c>
      <c r="L34" s="14">
        <f t="shared" si="13"/>
        <v>0.14702103215181811</v>
      </c>
      <c r="M34" s="14">
        <f t="shared" si="13"/>
        <v>0.14702346108724004</v>
      </c>
    </row>
    <row r="36" spans="1:13" x14ac:dyDescent="0.35">
      <c r="B36" t="s">
        <v>77</v>
      </c>
      <c r="C36" s="21">
        <f>IFERROR('Data Sheet'!B93,0)</f>
        <v>11.94</v>
      </c>
      <c r="D36" s="21">
        <f>IFERROR('Data Sheet'!C93,0)</f>
        <v>11.6</v>
      </c>
      <c r="E36" s="21">
        <f>IFERROR('Data Sheet'!D93,0)</f>
        <v>11.61</v>
      </c>
      <c r="F36" s="21">
        <f>IFERROR('Data Sheet'!E93,0)</f>
        <v>11.1</v>
      </c>
      <c r="G36" s="21">
        <f>IFERROR('Data Sheet'!F93,0)</f>
        <v>10.47</v>
      </c>
      <c r="H36" s="21">
        <f>IFERROR('Data Sheet'!G93,0)</f>
        <v>10.16</v>
      </c>
      <c r="I36" s="21">
        <f>IFERROR('Data Sheet'!H93,0)</f>
        <v>9.81</v>
      </c>
      <c r="J36" s="21">
        <f>IFERROR('Data Sheet'!I93,0)</f>
        <v>9.81</v>
      </c>
      <c r="K36" s="21">
        <f>IFERROR('Data Sheet'!J93,0)</f>
        <v>9.5299999999999994</v>
      </c>
      <c r="L36" s="21">
        <f>IFERROR('Data Sheet'!K93,0)</f>
        <v>9.41</v>
      </c>
      <c r="M36" s="22">
        <f>L36</f>
        <v>9.41</v>
      </c>
    </row>
    <row r="37" spans="1:13" x14ac:dyDescent="0.35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x14ac:dyDescent="0.35">
      <c r="B38" t="s">
        <v>78</v>
      </c>
      <c r="C38" s="21">
        <f>IFERROR(C33/C36,0)</f>
        <v>27.302345058626457</v>
      </c>
      <c r="D38" s="21">
        <f t="shared" ref="D38:M38" si="14">IFERROR(D33/D36,0)</f>
        <v>19.699137931034478</v>
      </c>
      <c r="E38" s="21">
        <f t="shared" si="14"/>
        <v>15.479758828596031</v>
      </c>
      <c r="F38" s="21">
        <f t="shared" si="14"/>
        <v>14.733333333333331</v>
      </c>
      <c r="G38" s="21">
        <f t="shared" si="14"/>
        <v>23.755491881566382</v>
      </c>
      <c r="H38" s="21">
        <f t="shared" si="14"/>
        <v>38.717519685039356</v>
      </c>
      <c r="I38" s="21">
        <f t="shared" si="14"/>
        <v>43.147808358817521</v>
      </c>
      <c r="J38" s="21">
        <f t="shared" si="14"/>
        <v>45.660550458715598</v>
      </c>
      <c r="K38" s="21">
        <f t="shared" si="14"/>
        <v>47.715634837355722</v>
      </c>
      <c r="L38" s="21">
        <f t="shared" si="14"/>
        <v>64.324123273113671</v>
      </c>
      <c r="M38" s="22">
        <f t="shared" si="14"/>
        <v>64.325185972369795</v>
      </c>
    </row>
    <row r="39" spans="1:13" x14ac:dyDescent="0.35">
      <c r="B39" s="13" t="s">
        <v>80</v>
      </c>
      <c r="C39" s="14"/>
      <c r="D39" s="14">
        <f>IFERROR((D38/C38-1),0)</f>
        <v>-0.27848183411591843</v>
      </c>
      <c r="E39" s="14">
        <f t="shared" ref="E39:M39" si="15">IFERROR((E38/D38-1),0)</f>
        <v>-0.21419105329432409</v>
      </c>
      <c r="F39" s="14">
        <f t="shared" si="15"/>
        <v>-4.8219452481637837E-2</v>
      </c>
      <c r="G39" s="14">
        <f t="shared" si="15"/>
        <v>0.61236370236875914</v>
      </c>
      <c r="H39" s="14">
        <f t="shared" si="15"/>
        <v>0.62983447693133665</v>
      </c>
      <c r="I39" s="14">
        <f t="shared" si="15"/>
        <v>0.11442594230771586</v>
      </c>
      <c r="J39" s="14">
        <f t="shared" si="15"/>
        <v>5.8235683235683622E-2</v>
      </c>
      <c r="K39" s="14">
        <f t="shared" si="15"/>
        <v>4.5007875682494092E-2</v>
      </c>
      <c r="L39" s="14">
        <f t="shared" si="15"/>
        <v>0.34807225121010976</v>
      </c>
      <c r="M39" s="14">
        <f t="shared" si="15"/>
        <v>1.6521006459990772E-5</v>
      </c>
    </row>
    <row r="40" spans="1:13" x14ac:dyDescent="0.35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/>
    </row>
    <row r="41" spans="1:13" x14ac:dyDescent="0.35">
      <c r="B41" t="s">
        <v>79</v>
      </c>
      <c r="C41" s="21">
        <f>IFERROR(('Data Sheet'!B31/C36),0)</f>
        <v>0.3324958123953099</v>
      </c>
      <c r="D41" s="21">
        <f>IFERROR(('Data Sheet'!C31/D36),0)</f>
        <v>0.32844827586206898</v>
      </c>
      <c r="E41" s="21">
        <f>IFERROR(('Data Sheet'!D31/E36),0)</f>
        <v>0.32558139534883723</v>
      </c>
      <c r="F41" s="21">
        <f>IFERROR(('Data Sheet'!E31/F36),0)</f>
        <v>0.32522522522522523</v>
      </c>
      <c r="G41" s="21">
        <f>IFERROR(('Data Sheet'!F31/G36),0)</f>
        <v>0.32473734479465138</v>
      </c>
      <c r="H41" s="21">
        <f>IFERROR(('Data Sheet'!G31/H36),0)</f>
        <v>0.32578740157480313</v>
      </c>
      <c r="I41" s="21">
        <f>IFERROR(('Data Sheet'!H31/I36),0)</f>
        <v>0.48929663608562685</v>
      </c>
      <c r="J41" s="21">
        <f>IFERROR(('Data Sheet'!I31/J36),0)</f>
        <v>0.49133537206931704</v>
      </c>
      <c r="K41" s="21">
        <f>IFERROR(('Data Sheet'!J31/K36),0)</f>
        <v>0.49317943336831066</v>
      </c>
      <c r="L41" s="21">
        <f>IFERROR(('Data Sheet'!K31/L36),0)</f>
        <v>0.97768331562167898</v>
      </c>
      <c r="M41" s="22">
        <f>IFERROR(('Data Sheet'!L31/M36),0)</f>
        <v>0</v>
      </c>
    </row>
    <row r="42" spans="1:13" x14ac:dyDescent="0.35">
      <c r="B42" s="13" t="s">
        <v>81</v>
      </c>
      <c r="C42" s="14">
        <f>IFERROR((C41/C38),0)</f>
        <v>1.2178287677536126E-2</v>
      </c>
      <c r="D42" s="14">
        <f t="shared" ref="D42:M42" si="16">IFERROR((D41/D38),0)</f>
        <v>1.667323093081266E-2</v>
      </c>
      <c r="E42" s="14">
        <f t="shared" si="16"/>
        <v>2.1032717560649911E-2</v>
      </c>
      <c r="F42" s="14">
        <f t="shared" si="16"/>
        <v>2.207411030940443E-2</v>
      </c>
      <c r="G42" s="14">
        <f t="shared" si="16"/>
        <v>1.3669990350595046E-2</v>
      </c>
      <c r="H42" s="14">
        <f t="shared" si="16"/>
        <v>8.4144698375575189E-3</v>
      </c>
      <c r="I42" s="14">
        <f t="shared" si="16"/>
        <v>1.1340011340011343E-2</v>
      </c>
      <c r="J42" s="14">
        <f t="shared" si="16"/>
        <v>1.0760609916728061E-2</v>
      </c>
      <c r="K42" s="14">
        <f t="shared" si="16"/>
        <v>1.0335803663712534E-2</v>
      </c>
      <c r="L42" s="14">
        <f t="shared" si="16"/>
        <v>1.5199325942936451E-2</v>
      </c>
      <c r="M42" s="14">
        <f t="shared" si="16"/>
        <v>0</v>
      </c>
    </row>
    <row r="44" spans="1:13" x14ac:dyDescent="0.35">
      <c r="B44" t="s">
        <v>82</v>
      </c>
      <c r="C44" s="14">
        <f>IFERROR(IF(C38&gt;C41,1-C42,0),0)</f>
        <v>0.98782171232246385</v>
      </c>
      <c r="D44" s="14">
        <f t="shared" ref="D44:M44" si="17">IFERROR(IF(D38&gt;D41,1-D42,0),0)</f>
        <v>0.98332676906918737</v>
      </c>
      <c r="E44" s="14">
        <f t="shared" si="17"/>
        <v>0.97896728243935005</v>
      </c>
      <c r="F44" s="14">
        <f t="shared" si="17"/>
        <v>0.97792588969059557</v>
      </c>
      <c r="G44" s="14">
        <f t="shared" si="17"/>
        <v>0.98633000964940498</v>
      </c>
      <c r="H44" s="14">
        <f t="shared" si="17"/>
        <v>0.99158553016244244</v>
      </c>
      <c r="I44" s="14">
        <f t="shared" si="17"/>
        <v>0.98865998865998861</v>
      </c>
      <c r="J44" s="14">
        <f t="shared" si="17"/>
        <v>0.98923939008327189</v>
      </c>
      <c r="K44" s="14">
        <f t="shared" si="17"/>
        <v>0.98966419633628744</v>
      </c>
      <c r="L44" s="14">
        <f t="shared" si="17"/>
        <v>0.98480067405706351</v>
      </c>
      <c r="M44" s="14">
        <f t="shared" si="17"/>
        <v>1</v>
      </c>
    </row>
    <row r="46" spans="1:13" x14ac:dyDescent="0.35">
      <c r="A46" t="s">
        <v>56</v>
      </c>
      <c r="B46" s="15" t="s">
        <v>83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spans="1:13" x14ac:dyDescent="0.35">
      <c r="B47" t="s">
        <v>10</v>
      </c>
      <c r="C47" s="21">
        <f>IFERROR('Data Sheet'!B57,0)</f>
        <v>39.71</v>
      </c>
      <c r="D47" s="21">
        <f>IFERROR('Data Sheet'!C57,0)</f>
        <v>38.14</v>
      </c>
      <c r="E47" s="21">
        <f>IFERROR('Data Sheet'!D57,0)</f>
        <v>37.79</v>
      </c>
      <c r="F47" s="21">
        <f>IFERROR('Data Sheet'!E57,0)</f>
        <v>36.1</v>
      </c>
      <c r="G47" s="21">
        <f>IFERROR('Data Sheet'!F57,0)</f>
        <v>34.01</v>
      </c>
      <c r="H47" s="21">
        <f>IFERROR('Data Sheet'!G57,0)</f>
        <v>33.1</v>
      </c>
      <c r="I47" s="21">
        <f>IFERROR('Data Sheet'!H57,0)</f>
        <v>48.03</v>
      </c>
      <c r="J47" s="21">
        <f>IFERROR('Data Sheet'!I57,0)</f>
        <v>48.23</v>
      </c>
      <c r="K47" s="21">
        <f>IFERROR('Data Sheet'!J57,0)</f>
        <v>46.96</v>
      </c>
      <c r="L47" s="21">
        <f>IFERROR('Data Sheet'!K57,0)</f>
        <v>92.03</v>
      </c>
    </row>
    <row r="48" spans="1:13" x14ac:dyDescent="0.35">
      <c r="B48" t="s">
        <v>11</v>
      </c>
      <c r="C48" s="21">
        <f>IFERROR('Data Sheet'!B58,0)</f>
        <v>1175.6400000000001</v>
      </c>
      <c r="D48" s="21">
        <f>IFERROR('Data Sheet'!C58,0)</f>
        <v>1166.6099999999999</v>
      </c>
      <c r="E48" s="21">
        <f>IFERROR('Data Sheet'!D58,0)</f>
        <v>1343.51</v>
      </c>
      <c r="F48" s="21">
        <f>IFERROR('Data Sheet'!E58,0)</f>
        <v>1270.1199999999999</v>
      </c>
      <c r="G48" s="21">
        <f>IFERROR('Data Sheet'!F58,0)</f>
        <v>1466.81</v>
      </c>
      <c r="H48" s="21">
        <f>IFERROR('Data Sheet'!G58,0)</f>
        <v>1534.49</v>
      </c>
      <c r="I48" s="21">
        <f>IFERROR('Data Sheet'!H58,0)</f>
        <v>1666.84</v>
      </c>
      <c r="J48" s="21">
        <f>IFERROR('Data Sheet'!I58,0)</f>
        <v>2199.27</v>
      </c>
      <c r="K48" s="21">
        <f>IFERROR('Data Sheet'!J58,0)</f>
        <v>2258.8000000000002</v>
      </c>
      <c r="L48" s="21">
        <f>IFERROR('Data Sheet'!K58,0)</f>
        <v>2469.37</v>
      </c>
    </row>
    <row r="49" spans="2:12" x14ac:dyDescent="0.35">
      <c r="B49" t="s">
        <v>35</v>
      </c>
      <c r="C49" s="21">
        <f>IFERROR('Data Sheet'!B59,0)</f>
        <v>1.06</v>
      </c>
      <c r="D49" s="21">
        <f>IFERROR('Data Sheet'!C59,0)</f>
        <v>6.34</v>
      </c>
      <c r="E49" s="21">
        <f>IFERROR('Data Sheet'!D59,0)</f>
        <v>1.67</v>
      </c>
      <c r="F49" s="21">
        <f>IFERROR('Data Sheet'!E59,0)</f>
        <v>156.6</v>
      </c>
      <c r="G49" s="21">
        <f>IFERROR('Data Sheet'!F59,0)</f>
        <v>174.73</v>
      </c>
      <c r="H49" s="21">
        <f>IFERROR('Data Sheet'!G59,0)</f>
        <v>163.12</v>
      </c>
      <c r="I49" s="21">
        <f>IFERROR('Data Sheet'!H59,0)</f>
        <v>193.56</v>
      </c>
      <c r="J49" s="21">
        <f>IFERROR('Data Sheet'!I59,0)</f>
        <v>265.74</v>
      </c>
      <c r="K49" s="21">
        <f>IFERROR('Data Sheet'!J59,0)</f>
        <v>358.13</v>
      </c>
      <c r="L49" s="21">
        <f>IFERROR('Data Sheet'!K59,0)</f>
        <v>384.96</v>
      </c>
    </row>
    <row r="50" spans="2:12" x14ac:dyDescent="0.35">
      <c r="B50" t="s">
        <v>36</v>
      </c>
      <c r="C50" s="21">
        <f>IFERROR('Data Sheet'!B60,0)</f>
        <v>181.73</v>
      </c>
      <c r="D50" s="21">
        <f>IFERROR('Data Sheet'!C60,0)</f>
        <v>207.8</v>
      </c>
      <c r="E50" s="21">
        <f>IFERROR('Data Sheet'!D60,0)</f>
        <v>201.01</v>
      </c>
      <c r="F50" s="21">
        <f>IFERROR('Data Sheet'!E60,0)</f>
        <v>260.2</v>
      </c>
      <c r="G50" s="21">
        <f>IFERROR('Data Sheet'!F60,0)</f>
        <v>315</v>
      </c>
      <c r="H50" s="21">
        <f>IFERROR('Data Sheet'!G60,0)</f>
        <v>324.48</v>
      </c>
      <c r="I50" s="21">
        <f>IFERROR('Data Sheet'!H60,0)</f>
        <v>365.47</v>
      </c>
      <c r="J50" s="21">
        <f>IFERROR('Data Sheet'!I60,0)</f>
        <v>406.15</v>
      </c>
      <c r="K50" s="21">
        <f>IFERROR('Data Sheet'!J60,0)</f>
        <v>475.04</v>
      </c>
      <c r="L50" s="21">
        <f>IFERROR('Data Sheet'!K60,0)</f>
        <v>750.66</v>
      </c>
    </row>
    <row r="51" spans="2:12" s="2" customFormat="1" x14ac:dyDescent="0.35">
      <c r="B51" s="2" t="s">
        <v>84</v>
      </c>
      <c r="C51" s="23">
        <f>IFERROR('Data Sheet'!B61,0)</f>
        <v>1398.14</v>
      </c>
      <c r="D51" s="23">
        <f>IFERROR('Data Sheet'!C61,0)</f>
        <v>1418.89</v>
      </c>
      <c r="E51" s="23">
        <f>IFERROR('Data Sheet'!D61,0)</f>
        <v>1583.98</v>
      </c>
      <c r="F51" s="23">
        <f>IFERROR('Data Sheet'!E61,0)</f>
        <v>1723.02</v>
      </c>
      <c r="G51" s="23">
        <f>IFERROR('Data Sheet'!F61,0)</f>
        <v>1990.55</v>
      </c>
      <c r="H51" s="23">
        <f>IFERROR('Data Sheet'!G61,0)</f>
        <v>2055.19</v>
      </c>
      <c r="I51" s="23">
        <f>IFERROR('Data Sheet'!H61,0)</f>
        <v>2273.9</v>
      </c>
      <c r="J51" s="23">
        <f>IFERROR('Data Sheet'!I61,0)</f>
        <v>2919.39</v>
      </c>
      <c r="K51" s="23">
        <f>IFERROR('Data Sheet'!J61,0)</f>
        <v>3138.93</v>
      </c>
      <c r="L51" s="23">
        <f>IFERROR('Data Sheet'!K61,0)</f>
        <v>3697.02</v>
      </c>
    </row>
    <row r="53" spans="2:12" x14ac:dyDescent="0.35">
      <c r="B53" t="s">
        <v>85</v>
      </c>
      <c r="C53" s="21">
        <f>IFERROR('Data Sheet'!B62,0)</f>
        <v>325.06</v>
      </c>
      <c r="D53" s="21">
        <f>IFERROR('Data Sheet'!C62,0)</f>
        <v>343.43</v>
      </c>
      <c r="E53" s="21">
        <f>IFERROR('Data Sheet'!D62,0)</f>
        <v>347.91</v>
      </c>
      <c r="F53" s="21">
        <f>IFERROR('Data Sheet'!E62,0)</f>
        <v>479.74</v>
      </c>
      <c r="G53" s="21">
        <f>IFERROR('Data Sheet'!F62,0)</f>
        <v>728.03</v>
      </c>
      <c r="H53" s="21">
        <f>IFERROR('Data Sheet'!G62,0)</f>
        <v>712.56</v>
      </c>
      <c r="I53" s="21">
        <f>IFERROR('Data Sheet'!H62,0)</f>
        <v>772.51</v>
      </c>
      <c r="J53" s="21">
        <f>IFERROR('Data Sheet'!I62,0)</f>
        <v>842.95</v>
      </c>
      <c r="K53" s="21">
        <f>IFERROR('Data Sheet'!J62,0)</f>
        <v>973.92</v>
      </c>
      <c r="L53" s="21">
        <f>IFERROR('Data Sheet'!K62,0)</f>
        <v>1053.94</v>
      </c>
    </row>
    <row r="54" spans="2:12" x14ac:dyDescent="0.35">
      <c r="B54" t="s">
        <v>14</v>
      </c>
      <c r="C54" s="21">
        <f>IFERROR('Data Sheet'!B63,0)</f>
        <v>1.85</v>
      </c>
      <c r="D54" s="21">
        <f>IFERROR('Data Sheet'!C63,0)</f>
        <v>0.09</v>
      </c>
      <c r="E54" s="21">
        <f>IFERROR('Data Sheet'!D63,0)</f>
        <v>0.17</v>
      </c>
      <c r="F54" s="21">
        <f>IFERROR('Data Sheet'!E63,0)</f>
        <v>0.8</v>
      </c>
      <c r="G54" s="21">
        <f>IFERROR('Data Sheet'!F63,0)</f>
        <v>0.48</v>
      </c>
      <c r="H54" s="21">
        <f>IFERROR('Data Sheet'!G63,0)</f>
        <v>2.17</v>
      </c>
      <c r="I54" s="21">
        <f>IFERROR('Data Sheet'!H63,0)</f>
        <v>20.82</v>
      </c>
      <c r="J54" s="21">
        <f>IFERROR('Data Sheet'!I63,0)</f>
        <v>0.77</v>
      </c>
      <c r="K54" s="21">
        <f>IFERROR('Data Sheet'!J63,0)</f>
        <v>0.19</v>
      </c>
      <c r="L54" s="21">
        <f>IFERROR('Data Sheet'!K63,0)</f>
        <v>4.92</v>
      </c>
    </row>
    <row r="55" spans="2:12" x14ac:dyDescent="0.35">
      <c r="B55" t="s">
        <v>15</v>
      </c>
      <c r="C55" s="21">
        <f>IFERROR('Data Sheet'!B64,0)</f>
        <v>251.64</v>
      </c>
      <c r="D55" s="21">
        <f>IFERROR('Data Sheet'!C64,0)</f>
        <v>165.27</v>
      </c>
      <c r="E55" s="21">
        <f>IFERROR('Data Sheet'!D64,0)</f>
        <v>286.26</v>
      </c>
      <c r="F55" s="21">
        <f>IFERROR('Data Sheet'!E64,0)</f>
        <v>436.79</v>
      </c>
      <c r="G55" s="21">
        <f>IFERROR('Data Sheet'!F64,0)</f>
        <v>228.62</v>
      </c>
      <c r="H55" s="21">
        <f>IFERROR('Data Sheet'!G64,0)</f>
        <v>195.88</v>
      </c>
      <c r="I55" s="21">
        <f>IFERROR('Data Sheet'!H64,0)</f>
        <v>274.51</v>
      </c>
      <c r="J55" s="21">
        <f>IFERROR('Data Sheet'!I64,0)</f>
        <v>406.5</v>
      </c>
      <c r="K55" s="21">
        <f>IFERROR('Data Sheet'!J64,0)</f>
        <v>309.02</v>
      </c>
      <c r="L55" s="21">
        <f>IFERROR('Data Sheet'!K64,0)</f>
        <v>307.85000000000002</v>
      </c>
    </row>
    <row r="56" spans="2:12" x14ac:dyDescent="0.35">
      <c r="B56" t="s">
        <v>37</v>
      </c>
      <c r="C56" s="21">
        <f>IFERROR('Data Sheet'!B65-SUM('Data Sheet'!B67:B69),0)</f>
        <v>249.85000000000002</v>
      </c>
      <c r="D56" s="21">
        <f>IFERROR('Data Sheet'!C65-SUM('Data Sheet'!C67:C69),0)</f>
        <v>236.54000000000008</v>
      </c>
      <c r="E56" s="21">
        <f>IFERROR('Data Sheet'!D65-SUM('Data Sheet'!D67:D69),0)</f>
        <v>255.14</v>
      </c>
      <c r="F56" s="21">
        <f>IFERROR('Data Sheet'!E65-SUM('Data Sheet'!E67:E69),0)</f>
        <v>233.11</v>
      </c>
      <c r="G56" s="21">
        <f>IFERROR('Data Sheet'!F65-SUM('Data Sheet'!F67:F69),0)</f>
        <v>249.22000000000003</v>
      </c>
      <c r="H56" s="21">
        <f>IFERROR('Data Sheet'!G65-SUM('Data Sheet'!G67:G69),0)</f>
        <v>321.14999999999998</v>
      </c>
      <c r="I56" s="21">
        <f>IFERROR('Data Sheet'!H65-SUM('Data Sheet'!H67:H69),0)</f>
        <v>337.18999999999994</v>
      </c>
      <c r="J56" s="21">
        <f>IFERROR('Data Sheet'!I65-SUM('Data Sheet'!I67:I69),0)</f>
        <v>480.43000000000006</v>
      </c>
      <c r="K56" s="21">
        <f>IFERROR('Data Sheet'!J65-SUM('Data Sheet'!J67:J69),0)</f>
        <v>326.55999999999995</v>
      </c>
      <c r="L56" s="21">
        <f>IFERROR('Data Sheet'!K65-SUM('Data Sheet'!K67:K69),0)</f>
        <v>925.25</v>
      </c>
    </row>
    <row r="57" spans="2:12" s="2" customFormat="1" x14ac:dyDescent="0.35">
      <c r="B57" s="2" t="s">
        <v>86</v>
      </c>
      <c r="C57" s="23">
        <f>IFERROR(SUM(C53:C56),0)</f>
        <v>828.4</v>
      </c>
      <c r="D57" s="23">
        <f t="shared" ref="D57:L57" si="18">IFERROR(SUM(D53:D56),0)</f>
        <v>745.33</v>
      </c>
      <c r="E57" s="23">
        <f t="shared" si="18"/>
        <v>889.48</v>
      </c>
      <c r="F57" s="23">
        <f t="shared" si="18"/>
        <v>1150.44</v>
      </c>
      <c r="G57" s="23">
        <f t="shared" si="18"/>
        <v>1206.3499999999999</v>
      </c>
      <c r="H57" s="23">
        <f t="shared" si="18"/>
        <v>1231.7599999999998</v>
      </c>
      <c r="I57" s="23">
        <f t="shared" si="18"/>
        <v>1405.0300000000002</v>
      </c>
      <c r="J57" s="23">
        <f t="shared" si="18"/>
        <v>1730.65</v>
      </c>
      <c r="K57" s="23">
        <f t="shared" si="18"/>
        <v>1609.69</v>
      </c>
      <c r="L57" s="23">
        <f t="shared" si="18"/>
        <v>2291.96</v>
      </c>
    </row>
    <row r="59" spans="2:12" x14ac:dyDescent="0.35">
      <c r="B59" t="s">
        <v>42</v>
      </c>
      <c r="C59" s="21">
        <f>IFERROR('Data Sheet'!B67,0)</f>
        <v>213.83</v>
      </c>
      <c r="D59" s="21">
        <f>IFERROR('Data Sheet'!C67,0)</f>
        <v>232.85</v>
      </c>
      <c r="E59" s="21">
        <f>IFERROR('Data Sheet'!D67,0)</f>
        <v>242.59</v>
      </c>
      <c r="F59" s="21">
        <f>IFERROR('Data Sheet'!E67,0)</f>
        <v>237.78</v>
      </c>
      <c r="G59" s="21">
        <f>IFERROR('Data Sheet'!F67,0)</f>
        <v>293.02</v>
      </c>
      <c r="H59" s="21">
        <f>IFERROR('Data Sheet'!G67,0)</f>
        <v>329.27</v>
      </c>
      <c r="I59" s="21">
        <f>IFERROR('Data Sheet'!H67,0)</f>
        <v>440.49</v>
      </c>
      <c r="J59" s="21">
        <f>IFERROR('Data Sheet'!I67,0)</f>
        <v>496</v>
      </c>
      <c r="K59" s="21">
        <f>IFERROR('Data Sheet'!J67,0)</f>
        <v>789.88</v>
      </c>
      <c r="L59" s="21">
        <f>IFERROR('Data Sheet'!K67,0)</f>
        <v>666.45</v>
      </c>
    </row>
    <row r="60" spans="2:12" x14ac:dyDescent="0.35">
      <c r="B60" t="s">
        <v>29</v>
      </c>
      <c r="C60" s="21">
        <f>IFERROR('Data Sheet'!B68,0)</f>
        <v>0.25</v>
      </c>
      <c r="D60" s="21">
        <f>IFERROR('Data Sheet'!C68,0)</f>
        <v>0.44</v>
      </c>
      <c r="E60" s="21">
        <f>IFERROR('Data Sheet'!D68,0)</f>
        <v>0.36</v>
      </c>
      <c r="F60" s="21">
        <f>IFERROR('Data Sheet'!E68,0)</f>
        <v>0.3</v>
      </c>
      <c r="G60" s="21">
        <f>IFERROR('Data Sheet'!F68,0)</f>
        <v>0.32</v>
      </c>
      <c r="H60" s="21">
        <f>IFERROR('Data Sheet'!G68,0)</f>
        <v>0.52</v>
      </c>
      <c r="I60" s="21">
        <f>IFERROR('Data Sheet'!H68,0)</f>
        <v>0.45</v>
      </c>
      <c r="J60" s="21">
        <f>IFERROR('Data Sheet'!I68,0)</f>
        <v>0.65</v>
      </c>
      <c r="K60" s="21">
        <f>IFERROR('Data Sheet'!J68,0)</f>
        <v>0.23</v>
      </c>
      <c r="L60" s="21">
        <f>IFERROR('Data Sheet'!K68,0)</f>
        <v>0.62</v>
      </c>
    </row>
    <row r="61" spans="2:12" x14ac:dyDescent="0.35">
      <c r="B61" t="s">
        <v>51</v>
      </c>
      <c r="C61" s="21">
        <f>IFERROR('Data Sheet'!B69,0)</f>
        <v>355.66</v>
      </c>
      <c r="D61" s="21">
        <f>IFERROR('Data Sheet'!C69,0)</f>
        <v>440.27</v>
      </c>
      <c r="E61" s="21">
        <f>IFERROR('Data Sheet'!D69,0)</f>
        <v>451.55</v>
      </c>
      <c r="F61" s="21">
        <f>IFERROR('Data Sheet'!E69,0)</f>
        <v>334.5</v>
      </c>
      <c r="G61" s="21">
        <f>IFERROR('Data Sheet'!F69,0)</f>
        <v>490.86</v>
      </c>
      <c r="H61" s="21">
        <f>IFERROR('Data Sheet'!G69,0)</f>
        <v>493.64</v>
      </c>
      <c r="I61" s="21">
        <f>IFERROR('Data Sheet'!H69,0)</f>
        <v>427.93</v>
      </c>
      <c r="J61" s="21">
        <f>IFERROR('Data Sheet'!I69,0)</f>
        <v>692.09</v>
      </c>
      <c r="K61" s="21">
        <f>IFERROR('Data Sheet'!J69,0)</f>
        <v>739.13</v>
      </c>
      <c r="L61" s="21">
        <f>IFERROR('Data Sheet'!K69,0)</f>
        <v>737.99</v>
      </c>
    </row>
    <row r="62" spans="2:12" x14ac:dyDescent="0.35">
      <c r="B62" s="2" t="s">
        <v>87</v>
      </c>
      <c r="C62" s="23">
        <f>IFERROR(SUM(C59:C61),0)</f>
        <v>569.74</v>
      </c>
      <c r="D62" s="23">
        <f t="shared" ref="D62:L62" si="19">IFERROR(SUM(D59:D61),0)</f>
        <v>673.56</v>
      </c>
      <c r="E62" s="23">
        <f t="shared" si="19"/>
        <v>694.5</v>
      </c>
      <c r="F62" s="23">
        <f t="shared" si="19"/>
        <v>572.58000000000004</v>
      </c>
      <c r="G62" s="23">
        <f t="shared" si="19"/>
        <v>784.2</v>
      </c>
      <c r="H62" s="23">
        <f t="shared" si="19"/>
        <v>823.43</v>
      </c>
      <c r="I62" s="23">
        <f t="shared" si="19"/>
        <v>868.87</v>
      </c>
      <c r="J62" s="23">
        <f t="shared" si="19"/>
        <v>1188.74</v>
      </c>
      <c r="K62" s="23">
        <f t="shared" si="19"/>
        <v>1529.24</v>
      </c>
      <c r="L62" s="23">
        <f t="shared" si="19"/>
        <v>1405.06</v>
      </c>
    </row>
    <row r="64" spans="2:12" s="2" customFormat="1" x14ac:dyDescent="0.35">
      <c r="B64" s="2" t="s">
        <v>88</v>
      </c>
      <c r="C64" s="23">
        <f>IFERROR((C62+C57),0)</f>
        <v>1398.1399999999999</v>
      </c>
      <c r="D64" s="23">
        <f t="shared" ref="D64:L64" si="20">IFERROR((D62+D57),0)</f>
        <v>1418.8899999999999</v>
      </c>
      <c r="E64" s="23">
        <f t="shared" si="20"/>
        <v>1583.98</v>
      </c>
      <c r="F64" s="23">
        <f t="shared" si="20"/>
        <v>1723.02</v>
      </c>
      <c r="G64" s="23">
        <f t="shared" si="20"/>
        <v>1990.55</v>
      </c>
      <c r="H64" s="23">
        <f t="shared" si="20"/>
        <v>2055.1899999999996</v>
      </c>
      <c r="I64" s="23">
        <f t="shared" si="20"/>
        <v>2273.9</v>
      </c>
      <c r="J64" s="23">
        <f t="shared" si="20"/>
        <v>2919.3900000000003</v>
      </c>
      <c r="K64" s="23">
        <f t="shared" si="20"/>
        <v>3138.9300000000003</v>
      </c>
      <c r="L64" s="23">
        <f t="shared" si="20"/>
        <v>3697.02</v>
      </c>
    </row>
    <row r="66" spans="1:13" x14ac:dyDescent="0.35">
      <c r="B66" s="2" t="s">
        <v>89</v>
      </c>
      <c r="C66" t="b">
        <f>C64=C51</f>
        <v>1</v>
      </c>
      <c r="D66" t="b">
        <f t="shared" ref="D66:L66" si="21">D64=D51</f>
        <v>1</v>
      </c>
      <c r="E66" t="b">
        <f t="shared" si="21"/>
        <v>1</v>
      </c>
      <c r="F66" t="b">
        <f t="shared" si="21"/>
        <v>1</v>
      </c>
      <c r="G66" t="b">
        <f t="shared" si="21"/>
        <v>1</v>
      </c>
      <c r="H66" t="b">
        <f t="shared" si="21"/>
        <v>1</v>
      </c>
      <c r="I66" t="b">
        <f t="shared" si="21"/>
        <v>1</v>
      </c>
      <c r="J66" t="b">
        <f t="shared" si="21"/>
        <v>1</v>
      </c>
      <c r="K66" t="b">
        <f t="shared" si="21"/>
        <v>1</v>
      </c>
      <c r="L66" t="b">
        <f t="shared" si="21"/>
        <v>1</v>
      </c>
    </row>
    <row r="68" spans="1:13" x14ac:dyDescent="0.35">
      <c r="A68" t="s">
        <v>56</v>
      </c>
      <c r="B68" s="15" t="s">
        <v>119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x14ac:dyDescent="0.35">
      <c r="B69" s="2" t="s">
        <v>120</v>
      </c>
    </row>
    <row r="70" spans="1:13" x14ac:dyDescent="0.35">
      <c r="B70" t="s">
        <v>90</v>
      </c>
      <c r="C70" s="21">
        <f>IFERROR('Cash Flow Data'!E4,0)</f>
        <v>462</v>
      </c>
      <c r="D70" s="21">
        <f>IFERROR('Cash Flow Data'!F4,0)</f>
        <v>402</v>
      </c>
      <c r="E70" s="21">
        <f>IFERROR('Cash Flow Data'!G4,0)</f>
        <v>329</v>
      </c>
      <c r="F70" s="21">
        <f>IFERROR('Cash Flow Data'!H4,0)</f>
        <v>343</v>
      </c>
      <c r="G70" s="21">
        <f>IFERROR('Cash Flow Data'!I4,0)</f>
        <v>458</v>
      </c>
      <c r="H70" s="21">
        <f>IFERROR('Cash Flow Data'!J4,0)</f>
        <v>679</v>
      </c>
      <c r="I70" s="21">
        <f>IFERROR('Cash Flow Data'!K4,0)</f>
        <v>758</v>
      </c>
      <c r="J70" s="21">
        <f>IFERROR('Cash Flow Data'!L4,0)</f>
        <v>826</v>
      </c>
      <c r="K70" s="21">
        <f>IFERROR('Cash Flow Data'!M4,0)</f>
        <v>901</v>
      </c>
      <c r="L70" s="21">
        <f>IFERROR('Cash Flow Data'!N4,0)</f>
        <v>1198</v>
      </c>
    </row>
    <row r="71" spans="1:13" x14ac:dyDescent="0.35">
      <c r="B71" t="s">
        <v>42</v>
      </c>
      <c r="C71" s="21">
        <f>IFERROR('Cash Flow Data'!E5,0)</f>
        <v>-33</v>
      </c>
      <c r="D71" s="21">
        <f>IFERROR('Cash Flow Data'!F5,0)</f>
        <v>-15</v>
      </c>
      <c r="E71" s="21">
        <f>IFERROR('Cash Flow Data'!G5,0)</f>
        <v>-15</v>
      </c>
      <c r="F71" s="21">
        <f>IFERROR('Cash Flow Data'!H5,0)</f>
        <v>10</v>
      </c>
      <c r="G71" s="21">
        <f>IFERROR('Cash Flow Data'!I5,0)</f>
        <v>-30</v>
      </c>
      <c r="H71" s="21">
        <f>IFERROR('Cash Flow Data'!J5,0)</f>
        <v>-37</v>
      </c>
      <c r="I71" s="21">
        <f>IFERROR('Cash Flow Data'!K5,0)</f>
        <v>-112</v>
      </c>
      <c r="J71" s="21">
        <f>IFERROR('Cash Flow Data'!L5,0)</f>
        <v>-55</v>
      </c>
      <c r="K71" s="21">
        <f>IFERROR('Cash Flow Data'!M5,0)</f>
        <v>-93</v>
      </c>
      <c r="L71" s="21">
        <f>IFERROR('Cash Flow Data'!N5,0)</f>
        <v>-237</v>
      </c>
    </row>
    <row r="72" spans="1:13" x14ac:dyDescent="0.35">
      <c r="B72" t="s">
        <v>29</v>
      </c>
      <c r="C72" s="21">
        <f>IFERROR('Cash Flow Data'!E6,0)</f>
        <v>0</v>
      </c>
      <c r="D72" s="21">
        <f>IFERROR('Cash Flow Data'!F6,0)</f>
        <v>0</v>
      </c>
      <c r="E72" s="21">
        <f>IFERROR('Cash Flow Data'!G6,0)</f>
        <v>0</v>
      </c>
      <c r="F72" s="21">
        <f>IFERROR('Cash Flow Data'!H6,0)</f>
        <v>0</v>
      </c>
      <c r="G72" s="21">
        <f>IFERROR('Cash Flow Data'!I6,0)</f>
        <v>0</v>
      </c>
      <c r="H72" s="21">
        <f>IFERROR('Cash Flow Data'!J6,0)</f>
        <v>0</v>
      </c>
      <c r="I72" s="21">
        <f>IFERROR('Cash Flow Data'!K6,0)</f>
        <v>0</v>
      </c>
      <c r="J72" s="21">
        <f>IFERROR('Cash Flow Data'!L6,0)</f>
        <v>0</v>
      </c>
      <c r="K72" s="21">
        <f>IFERROR('Cash Flow Data'!M6,0)</f>
        <v>0</v>
      </c>
      <c r="L72" s="21">
        <f>IFERROR('Cash Flow Data'!N6,0)</f>
        <v>0</v>
      </c>
    </row>
    <row r="73" spans="1:13" x14ac:dyDescent="0.35">
      <c r="B73" t="s">
        <v>91</v>
      </c>
      <c r="C73" s="21">
        <f>IFERROR('Cash Flow Data'!E7,0)</f>
        <v>-12</v>
      </c>
      <c r="D73" s="21">
        <f>IFERROR('Cash Flow Data'!F7,0)</f>
        <v>18</v>
      </c>
      <c r="E73" s="21">
        <f>IFERROR('Cash Flow Data'!G7,0)</f>
        <v>-3</v>
      </c>
      <c r="F73" s="21">
        <f>IFERROR('Cash Flow Data'!H7,0)</f>
        <v>0</v>
      </c>
      <c r="G73" s="21">
        <f>IFERROR('Cash Flow Data'!I7,0)</f>
        <v>7</v>
      </c>
      <c r="H73" s="21">
        <f>IFERROR('Cash Flow Data'!J7,0)</f>
        <v>15</v>
      </c>
      <c r="I73" s="21">
        <f>IFERROR('Cash Flow Data'!K7,0)</f>
        <v>20</v>
      </c>
      <c r="J73" s="21">
        <f>IFERROR('Cash Flow Data'!L7,0)</f>
        <v>11</v>
      </c>
      <c r="K73" s="21">
        <f>IFERROR('Cash Flow Data'!M7,0)</f>
        <v>21</v>
      </c>
      <c r="L73" s="21">
        <f>IFERROR('Cash Flow Data'!N7,0)</f>
        <v>53</v>
      </c>
    </row>
    <row r="74" spans="1:13" x14ac:dyDescent="0.35">
      <c r="B74" t="s">
        <v>92</v>
      </c>
      <c r="C74" s="21">
        <f>IFERROR('Cash Flow Data'!E8,0)</f>
        <v>0</v>
      </c>
      <c r="D74" s="21">
        <f>IFERROR('Cash Flow Data'!F8,0)</f>
        <v>0</v>
      </c>
      <c r="E74" s="21">
        <f>IFERROR('Cash Flow Data'!G8,0)</f>
        <v>0</v>
      </c>
      <c r="F74" s="21">
        <f>IFERROR('Cash Flow Data'!H8,0)</f>
        <v>0</v>
      </c>
      <c r="G74" s="21">
        <f>IFERROR('Cash Flow Data'!I8,0)</f>
        <v>0</v>
      </c>
      <c r="H74" s="21">
        <f>IFERROR('Cash Flow Data'!J8,0)</f>
        <v>0</v>
      </c>
      <c r="I74" s="21">
        <f>IFERROR('Cash Flow Data'!K8,0)</f>
        <v>0</v>
      </c>
      <c r="J74" s="21">
        <f>IFERROR('Cash Flow Data'!L8,0)</f>
        <v>0</v>
      </c>
      <c r="K74" s="21">
        <f>IFERROR('Cash Flow Data'!M8,0)</f>
        <v>0</v>
      </c>
      <c r="L74" s="21">
        <f>IFERROR('Cash Flow Data'!N8,0)</f>
        <v>0</v>
      </c>
    </row>
    <row r="75" spans="1:13" x14ac:dyDescent="0.35">
      <c r="B75" t="s">
        <v>93</v>
      </c>
      <c r="C75" s="21">
        <f>IFERROR('Cash Flow Data'!E9,0)</f>
        <v>-3</v>
      </c>
      <c r="D75" s="21">
        <f>IFERROR('Cash Flow Data'!F9,0)</f>
        <v>-6</v>
      </c>
      <c r="E75" s="21">
        <f>IFERROR('Cash Flow Data'!G9,0)</f>
        <v>-12</v>
      </c>
      <c r="F75" s="21">
        <f>IFERROR('Cash Flow Data'!H9,0)</f>
        <v>39</v>
      </c>
      <c r="G75" s="21">
        <f>IFERROR('Cash Flow Data'!I9,0)</f>
        <v>31</v>
      </c>
      <c r="H75" s="21">
        <f>IFERROR('Cash Flow Data'!J9,0)</f>
        <v>-48</v>
      </c>
      <c r="I75" s="21">
        <f>IFERROR('Cash Flow Data'!K9,0)</f>
        <v>5</v>
      </c>
      <c r="J75" s="21">
        <f>IFERROR('Cash Flow Data'!L9,0)</f>
        <v>-84</v>
      </c>
      <c r="K75" s="21">
        <f>IFERROR('Cash Flow Data'!M9,0)</f>
        <v>-11</v>
      </c>
      <c r="L75" s="21">
        <f>IFERROR('Cash Flow Data'!N9,0)</f>
        <v>85</v>
      </c>
    </row>
    <row r="76" spans="1:13" x14ac:dyDescent="0.35">
      <c r="B76" t="s">
        <v>94</v>
      </c>
      <c r="C76" s="21">
        <f>IFERROR('Cash Flow Data'!E10,0)</f>
        <v>-47</v>
      </c>
      <c r="D76" s="21">
        <f>IFERROR('Cash Flow Data'!F10,0)</f>
        <v>-3</v>
      </c>
      <c r="E76" s="21">
        <f>IFERROR('Cash Flow Data'!G10,0)</f>
        <v>-30</v>
      </c>
      <c r="F76" s="21">
        <f>IFERROR('Cash Flow Data'!H10,0)</f>
        <v>49</v>
      </c>
      <c r="G76" s="21">
        <f>IFERROR('Cash Flow Data'!I10,0)</f>
        <v>7</v>
      </c>
      <c r="H76" s="21">
        <f>IFERROR('Cash Flow Data'!J10,0)</f>
        <v>-70</v>
      </c>
      <c r="I76" s="21">
        <f>IFERROR('Cash Flow Data'!K10,0)</f>
        <v>-87</v>
      </c>
      <c r="J76" s="21">
        <f>IFERROR('Cash Flow Data'!L10,0)</f>
        <v>-128</v>
      </c>
      <c r="K76" s="21">
        <f>IFERROR('Cash Flow Data'!M10,0)</f>
        <v>-82</v>
      </c>
      <c r="L76" s="21">
        <f>IFERROR('Cash Flow Data'!N10,0)</f>
        <v>-99</v>
      </c>
    </row>
    <row r="77" spans="1:13" x14ac:dyDescent="0.35">
      <c r="B77" t="s">
        <v>95</v>
      </c>
      <c r="C77" s="21">
        <f>IFERROR('Cash Flow Data'!E11,0)</f>
        <v>0</v>
      </c>
      <c r="D77" s="21">
        <f>IFERROR('Cash Flow Data'!F11,0)</f>
        <v>0</v>
      </c>
      <c r="E77" s="21">
        <f>IFERROR('Cash Flow Data'!G11,0)</f>
        <v>0</v>
      </c>
      <c r="F77" s="21">
        <f>IFERROR('Cash Flow Data'!H11,0)</f>
        <v>0</v>
      </c>
      <c r="G77" s="21">
        <f>IFERROR('Cash Flow Data'!I11,0)</f>
        <v>0</v>
      </c>
      <c r="H77" s="21">
        <f>IFERROR('Cash Flow Data'!J11,0)</f>
        <v>-164</v>
      </c>
      <c r="I77" s="21">
        <f>IFERROR('Cash Flow Data'!K11,0)</f>
        <v>-178</v>
      </c>
      <c r="J77" s="21">
        <f>IFERROR('Cash Flow Data'!L11,0)</f>
        <v>-172</v>
      </c>
      <c r="K77" s="21">
        <f>IFERROR('Cash Flow Data'!M11,0)</f>
        <v>-164</v>
      </c>
      <c r="L77" s="21">
        <f>IFERROR('Cash Flow Data'!N11,0)</f>
        <v>-225</v>
      </c>
    </row>
    <row r="78" spans="1:13" x14ac:dyDescent="0.35">
      <c r="B78" t="s">
        <v>96</v>
      </c>
      <c r="C78" s="21">
        <f>IFERROR('Cash Flow Data'!E12,0)</f>
        <v>-103</v>
      </c>
      <c r="D78" s="21">
        <f>IFERROR('Cash Flow Data'!F12,0)</f>
        <v>-95</v>
      </c>
      <c r="E78" s="21">
        <f>IFERROR('Cash Flow Data'!G12,0)</f>
        <v>-93</v>
      </c>
      <c r="F78" s="21">
        <f>IFERROR('Cash Flow Data'!H12,0)</f>
        <v>-59</v>
      </c>
      <c r="G78" s="21">
        <f>IFERROR('Cash Flow Data'!I12,0)</f>
        <v>-100</v>
      </c>
      <c r="H78" s="21">
        <f>IFERROR('Cash Flow Data'!J12,0)</f>
        <v>0</v>
      </c>
      <c r="I78" s="21">
        <f>IFERROR('Cash Flow Data'!K12,0)</f>
        <v>0</v>
      </c>
      <c r="J78" s="21">
        <f>IFERROR('Cash Flow Data'!L12,0)</f>
        <v>0</v>
      </c>
      <c r="K78" s="21">
        <f>IFERROR('Cash Flow Data'!M12,0)</f>
        <v>0</v>
      </c>
      <c r="L78" s="21">
        <f>IFERROR('Cash Flow Data'!N12,0)</f>
        <v>0</v>
      </c>
    </row>
    <row r="79" spans="1:13" x14ac:dyDescent="0.35">
      <c r="B79" s="2" t="s">
        <v>121</v>
      </c>
      <c r="C79" s="23">
        <f>IFERROR(SUM(C70,C76,C77,C78),0)</f>
        <v>312</v>
      </c>
      <c r="D79" s="23">
        <f t="shared" ref="D79:L79" si="22">IFERROR(SUM(D70,D76,D77,D78),0)</f>
        <v>304</v>
      </c>
      <c r="E79" s="23">
        <f t="shared" si="22"/>
        <v>206</v>
      </c>
      <c r="F79" s="23">
        <f t="shared" si="22"/>
        <v>333</v>
      </c>
      <c r="G79" s="23">
        <f t="shared" si="22"/>
        <v>365</v>
      </c>
      <c r="H79" s="23">
        <f t="shared" si="22"/>
        <v>445</v>
      </c>
      <c r="I79" s="23">
        <f t="shared" si="22"/>
        <v>493</v>
      </c>
      <c r="J79" s="23">
        <f t="shared" si="22"/>
        <v>526</v>
      </c>
      <c r="K79" s="23">
        <f t="shared" si="22"/>
        <v>655</v>
      </c>
      <c r="L79" s="23">
        <f t="shared" si="22"/>
        <v>874</v>
      </c>
    </row>
    <row r="81" spans="2:12" x14ac:dyDescent="0.35">
      <c r="B81" s="2" t="s">
        <v>122</v>
      </c>
    </row>
    <row r="82" spans="2:12" x14ac:dyDescent="0.35">
      <c r="B82" t="s">
        <v>97</v>
      </c>
      <c r="C82" s="21">
        <f>IFERROR('Cash Flow Data'!E14,0)</f>
        <v>-30</v>
      </c>
      <c r="D82" s="21">
        <f>IFERROR('Cash Flow Data'!F14,0)</f>
        <v>-42</v>
      </c>
      <c r="E82" s="21">
        <f>IFERROR('Cash Flow Data'!G14,0)</f>
        <v>-52</v>
      </c>
      <c r="F82" s="21">
        <f>IFERROR('Cash Flow Data'!H14,0)</f>
        <v>-34</v>
      </c>
      <c r="G82" s="21">
        <f>IFERROR('Cash Flow Data'!I14,0)</f>
        <v>-39</v>
      </c>
      <c r="H82" s="21">
        <f>IFERROR('Cash Flow Data'!J14,0)</f>
        <v>-61</v>
      </c>
      <c r="I82" s="21">
        <f>IFERROR('Cash Flow Data'!K14,0)</f>
        <v>-91</v>
      </c>
      <c r="J82" s="21">
        <f>IFERROR('Cash Flow Data'!L14,0)</f>
        <v>-67</v>
      </c>
      <c r="K82" s="21">
        <f>IFERROR('Cash Flow Data'!M14,0)</f>
        <v>-121</v>
      </c>
      <c r="L82" s="21">
        <f>IFERROR('Cash Flow Data'!N14,0)</f>
        <v>-119</v>
      </c>
    </row>
    <row r="83" spans="2:12" x14ac:dyDescent="0.35">
      <c r="B83" t="s">
        <v>98</v>
      </c>
      <c r="C83" s="21">
        <f>IFERROR('Cash Flow Data'!E15,0)</f>
        <v>0</v>
      </c>
      <c r="D83" s="21">
        <f>IFERROR('Cash Flow Data'!F15,0)</f>
        <v>0</v>
      </c>
      <c r="E83" s="21">
        <f>IFERROR('Cash Flow Data'!G15,0)</f>
        <v>0</v>
      </c>
      <c r="F83" s="21">
        <f>IFERROR('Cash Flow Data'!H15,0)</f>
        <v>1</v>
      </c>
      <c r="G83" s="21">
        <f>IFERROR('Cash Flow Data'!I15,0)</f>
        <v>0</v>
      </c>
      <c r="H83" s="21">
        <f>IFERROR('Cash Flow Data'!J15,0)</f>
        <v>0</v>
      </c>
      <c r="I83" s="21">
        <f>IFERROR('Cash Flow Data'!K15,0)</f>
        <v>1</v>
      </c>
      <c r="J83" s="21">
        <f>IFERROR('Cash Flow Data'!L15,0)</f>
        <v>3</v>
      </c>
      <c r="K83" s="21">
        <f>IFERROR('Cash Flow Data'!M15,0)</f>
        <v>6</v>
      </c>
      <c r="L83" s="21">
        <f>IFERROR('Cash Flow Data'!N15,0)</f>
        <v>1</v>
      </c>
    </row>
    <row r="84" spans="2:12" x14ac:dyDescent="0.35">
      <c r="B84" t="s">
        <v>99</v>
      </c>
      <c r="C84" s="21">
        <f>IFERROR('Cash Flow Data'!E16,0)</f>
        <v>-803</v>
      </c>
      <c r="D84" s="21">
        <f>IFERROR('Cash Flow Data'!F16,0)</f>
        <v>-844</v>
      </c>
      <c r="E84" s="21">
        <f>IFERROR('Cash Flow Data'!G16,0)</f>
        <v>-1363</v>
      </c>
      <c r="F84" s="21">
        <f>IFERROR('Cash Flow Data'!H16,0)</f>
        <v>-1196</v>
      </c>
      <c r="G84" s="21">
        <f>IFERROR('Cash Flow Data'!I16,0)</f>
        <v>-919</v>
      </c>
      <c r="H84" s="21">
        <f>IFERROR('Cash Flow Data'!J16,0)</f>
        <v>-1158</v>
      </c>
      <c r="I84" s="21">
        <f>IFERROR('Cash Flow Data'!K16,0)</f>
        <v>-1612</v>
      </c>
      <c r="J84" s="21">
        <f>IFERROR('Cash Flow Data'!L16,0)</f>
        <v>-1662</v>
      </c>
      <c r="K84" s="21">
        <f>IFERROR('Cash Flow Data'!M16,0)</f>
        <v>-2043</v>
      </c>
      <c r="L84" s="21">
        <f>IFERROR('Cash Flow Data'!N16,0)</f>
        <v>-2187</v>
      </c>
    </row>
    <row r="85" spans="2:12" x14ac:dyDescent="0.35">
      <c r="B85" t="s">
        <v>100</v>
      </c>
      <c r="C85" s="21">
        <f>IFERROR('Cash Flow Data'!E17,0)</f>
        <v>773</v>
      </c>
      <c r="D85" s="21">
        <f>IFERROR('Cash Flow Data'!F17,0)</f>
        <v>930</v>
      </c>
      <c r="E85" s="21">
        <f>IFERROR('Cash Flow Data'!G17,0)</f>
        <v>1242</v>
      </c>
      <c r="F85" s="21">
        <f>IFERROR('Cash Flow Data'!H17,0)</f>
        <v>1059</v>
      </c>
      <c r="G85" s="21">
        <f>IFERROR('Cash Flow Data'!I17,0)</f>
        <v>1143</v>
      </c>
      <c r="H85" s="21">
        <f>IFERROR('Cash Flow Data'!J17,0)</f>
        <v>1197</v>
      </c>
      <c r="I85" s="21">
        <f>IFERROR('Cash Flow Data'!K17,0)</f>
        <v>1548</v>
      </c>
      <c r="J85" s="21">
        <f>IFERROR('Cash Flow Data'!L17,0)</f>
        <v>1546</v>
      </c>
      <c r="K85" s="21">
        <f>IFERROR('Cash Flow Data'!M17,0)</f>
        <v>2155</v>
      </c>
      <c r="L85" s="21">
        <f>IFERROR('Cash Flow Data'!N17,0)</f>
        <v>2198</v>
      </c>
    </row>
    <row r="86" spans="2:12" x14ac:dyDescent="0.35">
      <c r="B86" t="s">
        <v>101</v>
      </c>
      <c r="C86" s="21">
        <f>IFERROR('Cash Flow Data'!E18,0)</f>
        <v>7</v>
      </c>
      <c r="D86" s="21">
        <f>IFERROR('Cash Flow Data'!F18,0)</f>
        <v>14</v>
      </c>
      <c r="E86" s="21">
        <f>IFERROR('Cash Flow Data'!G18,0)</f>
        <v>19</v>
      </c>
      <c r="F86" s="21">
        <f>IFERROR('Cash Flow Data'!H18,0)</f>
        <v>21</v>
      </c>
      <c r="G86" s="21">
        <f>IFERROR('Cash Flow Data'!I18,0)</f>
        <v>13</v>
      </c>
      <c r="H86" s="21">
        <f>IFERROR('Cash Flow Data'!J18,0)</f>
        <v>4</v>
      </c>
      <c r="I86" s="21">
        <f>IFERROR('Cash Flow Data'!K18,0)</f>
        <v>6</v>
      </c>
      <c r="J86" s="21">
        <f>IFERROR('Cash Flow Data'!L18,0)</f>
        <v>21</v>
      </c>
      <c r="K86" s="21">
        <f>IFERROR('Cash Flow Data'!M18,0)</f>
        <v>25</v>
      </c>
      <c r="L86" s="21">
        <f>IFERROR('Cash Flow Data'!N18,0)</f>
        <v>30</v>
      </c>
    </row>
    <row r="87" spans="2:12" x14ac:dyDescent="0.35">
      <c r="B87" t="s">
        <v>102</v>
      </c>
      <c r="C87" s="21">
        <f>IFERROR('Cash Flow Data'!E19,0)</f>
        <v>13</v>
      </c>
      <c r="D87" s="21">
        <f>IFERROR('Cash Flow Data'!F19,0)</f>
        <v>15</v>
      </c>
      <c r="E87" s="21">
        <f>IFERROR('Cash Flow Data'!G19,0)</f>
        <v>10</v>
      </c>
      <c r="F87" s="21">
        <f>IFERROR('Cash Flow Data'!H19,0)</f>
        <v>7</v>
      </c>
      <c r="G87" s="21">
        <f>IFERROR('Cash Flow Data'!I19,0)</f>
        <v>0</v>
      </c>
      <c r="H87" s="21">
        <f>IFERROR('Cash Flow Data'!J19,0)</f>
        <v>0</v>
      </c>
      <c r="I87" s="21">
        <f>IFERROR('Cash Flow Data'!K19,0)</f>
        <v>0</v>
      </c>
      <c r="J87" s="21">
        <f>IFERROR('Cash Flow Data'!L19,0)</f>
        <v>0</v>
      </c>
      <c r="K87" s="21">
        <f>IFERROR('Cash Flow Data'!M19,0)</f>
        <v>2</v>
      </c>
      <c r="L87" s="21">
        <f>IFERROR('Cash Flow Data'!N19,0)</f>
        <v>3</v>
      </c>
    </row>
    <row r="88" spans="2:12" x14ac:dyDescent="0.35">
      <c r="B88" t="s">
        <v>103</v>
      </c>
      <c r="C88" s="21">
        <f>IFERROR('Cash Flow Data'!E20,0)</f>
        <v>0</v>
      </c>
      <c r="D88" s="21">
        <f>IFERROR('Cash Flow Data'!F20,0)</f>
        <v>0</v>
      </c>
      <c r="E88" s="21">
        <f>IFERROR('Cash Flow Data'!G20,0)</f>
        <v>0</v>
      </c>
      <c r="F88" s="21">
        <f>IFERROR('Cash Flow Data'!H20,0)</f>
        <v>0</v>
      </c>
      <c r="G88" s="21">
        <f>IFERROR('Cash Flow Data'!I20,0)</f>
        <v>0</v>
      </c>
      <c r="H88" s="21">
        <f>IFERROR('Cash Flow Data'!J20,0)</f>
        <v>0</v>
      </c>
      <c r="I88" s="21">
        <f>IFERROR('Cash Flow Data'!K20,0)</f>
        <v>0</v>
      </c>
      <c r="J88" s="21">
        <f>IFERROR('Cash Flow Data'!L20,0)</f>
        <v>0</v>
      </c>
      <c r="K88" s="21">
        <f>IFERROR('Cash Flow Data'!M20,0)</f>
        <v>0</v>
      </c>
      <c r="L88" s="21">
        <f>IFERROR('Cash Flow Data'!N20,0)</f>
        <v>0</v>
      </c>
    </row>
    <row r="89" spans="2:12" x14ac:dyDescent="0.35">
      <c r="B89" t="s">
        <v>104</v>
      </c>
      <c r="C89" s="21">
        <f>IFERROR('Cash Flow Data'!E21,0)</f>
        <v>-136</v>
      </c>
      <c r="D89" s="21">
        <f>IFERROR('Cash Flow Data'!F21,0)</f>
        <v>-47</v>
      </c>
      <c r="E89" s="21">
        <f>IFERROR('Cash Flow Data'!G21,0)</f>
        <v>-85</v>
      </c>
      <c r="F89" s="21">
        <f>IFERROR('Cash Flow Data'!H21,0)</f>
        <v>167</v>
      </c>
      <c r="G89" s="21">
        <f>IFERROR('Cash Flow Data'!I21,0)</f>
        <v>-200</v>
      </c>
      <c r="H89" s="21">
        <f>IFERROR('Cash Flow Data'!J21,0)</f>
        <v>61</v>
      </c>
      <c r="I89" s="21">
        <f>IFERROR('Cash Flow Data'!K21,0)</f>
        <v>93</v>
      </c>
      <c r="J89" s="21">
        <f>IFERROR('Cash Flow Data'!L21,0)</f>
        <v>-324</v>
      </c>
      <c r="K89" s="21">
        <f>IFERROR('Cash Flow Data'!M21,0)</f>
        <v>118</v>
      </c>
      <c r="L89" s="21">
        <f>IFERROR('Cash Flow Data'!N21,0)</f>
        <v>-67</v>
      </c>
    </row>
    <row r="90" spans="2:12" x14ac:dyDescent="0.35">
      <c r="B90" s="2" t="s">
        <v>123</v>
      </c>
      <c r="C90" s="23">
        <f>IFERROR(SUM(C82:C89),0)</f>
        <v>-176</v>
      </c>
      <c r="D90" s="23">
        <f t="shared" ref="D90:L90" si="23">IFERROR(SUM(D82:D89),0)</f>
        <v>26</v>
      </c>
      <c r="E90" s="23">
        <f t="shared" si="23"/>
        <v>-229</v>
      </c>
      <c r="F90" s="23">
        <f t="shared" si="23"/>
        <v>25</v>
      </c>
      <c r="G90" s="23">
        <f t="shared" si="23"/>
        <v>-2</v>
      </c>
      <c r="H90" s="23">
        <f t="shared" si="23"/>
        <v>43</v>
      </c>
      <c r="I90" s="23">
        <f t="shared" si="23"/>
        <v>-55</v>
      </c>
      <c r="J90" s="23">
        <f t="shared" si="23"/>
        <v>-483</v>
      </c>
      <c r="K90" s="23">
        <f t="shared" si="23"/>
        <v>142</v>
      </c>
      <c r="L90" s="23">
        <f t="shared" si="23"/>
        <v>-141</v>
      </c>
    </row>
    <row r="92" spans="2:12" x14ac:dyDescent="0.35">
      <c r="B92" s="2" t="s">
        <v>124</v>
      </c>
    </row>
    <row r="93" spans="2:12" x14ac:dyDescent="0.35">
      <c r="B93" t="s">
        <v>105</v>
      </c>
      <c r="C93" s="21">
        <f>IFERROR('Cash Flow Data'!E23,0)</f>
        <v>8</v>
      </c>
      <c r="D93" s="21">
        <f>IFERROR('Cash Flow Data'!F23,0)</f>
        <v>9</v>
      </c>
      <c r="E93" s="21">
        <f>IFERROR('Cash Flow Data'!G23,0)</f>
        <v>5</v>
      </c>
      <c r="F93" s="21">
        <f>IFERROR('Cash Flow Data'!H23,0)</f>
        <v>1</v>
      </c>
      <c r="G93" s="21">
        <f>IFERROR('Cash Flow Data'!I23,0)</f>
        <v>0</v>
      </c>
      <c r="H93" s="21">
        <f>IFERROR('Cash Flow Data'!J23,0)</f>
        <v>0</v>
      </c>
      <c r="I93" s="21">
        <f>IFERROR('Cash Flow Data'!K23,0)</f>
        <v>0</v>
      </c>
      <c r="J93" s="21">
        <f>IFERROR('Cash Flow Data'!L23,0)</f>
        <v>0</v>
      </c>
      <c r="K93" s="21">
        <f>IFERROR('Cash Flow Data'!M23,0)</f>
        <v>30</v>
      </c>
      <c r="L93" s="21">
        <f>IFERROR('Cash Flow Data'!N23,0)</f>
        <v>32</v>
      </c>
    </row>
    <row r="94" spans="2:12" x14ac:dyDescent="0.35">
      <c r="B94" t="s">
        <v>106</v>
      </c>
      <c r="C94" s="21">
        <f>IFERROR('Cash Flow Data'!E24,0)</f>
        <v>0</v>
      </c>
      <c r="D94" s="21">
        <f>IFERROR('Cash Flow Data'!F24,0)</f>
        <v>5</v>
      </c>
      <c r="E94" s="21">
        <f>IFERROR('Cash Flow Data'!G24,0)</f>
        <v>0</v>
      </c>
      <c r="F94" s="21">
        <f>IFERROR('Cash Flow Data'!H24,0)</f>
        <v>0</v>
      </c>
      <c r="G94" s="21">
        <f>IFERROR('Cash Flow Data'!I24,0)</f>
        <v>0</v>
      </c>
      <c r="H94" s="21">
        <f>IFERROR('Cash Flow Data'!J24,0)</f>
        <v>0</v>
      </c>
      <c r="I94" s="21">
        <f>IFERROR('Cash Flow Data'!K24,0)</f>
        <v>1</v>
      </c>
      <c r="J94" s="21">
        <f>IFERROR('Cash Flow Data'!L24,0)</f>
        <v>0</v>
      </c>
      <c r="K94" s="21">
        <f>IFERROR('Cash Flow Data'!M24,0)</f>
        <v>0</v>
      </c>
      <c r="L94" s="21">
        <f>IFERROR('Cash Flow Data'!N24,0)</f>
        <v>0</v>
      </c>
    </row>
    <row r="95" spans="2:12" x14ac:dyDescent="0.35">
      <c r="B95" t="s">
        <v>107</v>
      </c>
      <c r="C95" s="21">
        <f>IFERROR('Cash Flow Data'!E25,0)</f>
        <v>-2</v>
      </c>
      <c r="D95" s="21">
        <f>IFERROR('Cash Flow Data'!F25,0)</f>
        <v>0</v>
      </c>
      <c r="E95" s="21">
        <f>IFERROR('Cash Flow Data'!G25,0)</f>
        <v>-5</v>
      </c>
      <c r="F95" s="21">
        <f>IFERROR('Cash Flow Data'!H25,0)</f>
        <v>-1</v>
      </c>
      <c r="G95" s="21">
        <f>IFERROR('Cash Flow Data'!I25,0)</f>
        <v>-1</v>
      </c>
      <c r="H95" s="21">
        <f>IFERROR('Cash Flow Data'!J25,0)</f>
        <v>0</v>
      </c>
      <c r="I95" s="21">
        <f>IFERROR('Cash Flow Data'!K25,0)</f>
        <v>0</v>
      </c>
      <c r="J95" s="21">
        <f>IFERROR('Cash Flow Data'!L25,0)</f>
        <v>-1</v>
      </c>
      <c r="K95" s="21">
        <f>IFERROR('Cash Flow Data'!M25,0)</f>
        <v>0</v>
      </c>
      <c r="L95" s="21">
        <f>IFERROR('Cash Flow Data'!N25,0)</f>
        <v>0</v>
      </c>
    </row>
    <row r="96" spans="2:12" x14ac:dyDescent="0.35">
      <c r="B96" t="s">
        <v>108</v>
      </c>
      <c r="C96" s="21">
        <f>IFERROR('Cash Flow Data'!E26,0)</f>
        <v>0</v>
      </c>
      <c r="D96" s="21">
        <f>IFERROR('Cash Flow Data'!F26,0)</f>
        <v>0</v>
      </c>
      <c r="E96" s="21">
        <f>IFERROR('Cash Flow Data'!G26,0)</f>
        <v>0</v>
      </c>
      <c r="F96" s="21">
        <f>IFERROR('Cash Flow Data'!H26,0)</f>
        <v>0</v>
      </c>
      <c r="G96" s="21">
        <f>IFERROR('Cash Flow Data'!I26,0)</f>
        <v>0</v>
      </c>
      <c r="H96" s="21">
        <f>IFERROR('Cash Flow Data'!J26,0)</f>
        <v>0</v>
      </c>
      <c r="I96" s="21">
        <f>IFERROR('Cash Flow Data'!K26,0)</f>
        <v>0</v>
      </c>
      <c r="J96" s="21">
        <f>IFERROR('Cash Flow Data'!L26,0)</f>
        <v>0</v>
      </c>
      <c r="K96" s="21">
        <f>IFERROR('Cash Flow Data'!M26,0)</f>
        <v>0</v>
      </c>
      <c r="L96" s="21">
        <f>IFERROR('Cash Flow Data'!N26,0)</f>
        <v>0</v>
      </c>
    </row>
    <row r="97" spans="2:12" x14ac:dyDescent="0.35">
      <c r="B97" t="s">
        <v>109</v>
      </c>
      <c r="C97" s="21">
        <f>IFERROR('Cash Flow Data'!E27,0)</f>
        <v>0</v>
      </c>
      <c r="D97" s="21">
        <f>IFERROR('Cash Flow Data'!F27,0)</f>
        <v>0</v>
      </c>
      <c r="E97" s="21">
        <f>IFERROR('Cash Flow Data'!G27,0)</f>
        <v>0</v>
      </c>
      <c r="F97" s="21">
        <f>IFERROR('Cash Flow Data'!H27,0)</f>
        <v>-19</v>
      </c>
      <c r="G97" s="21">
        <f>IFERROR('Cash Flow Data'!I27,0)</f>
        <v>-20</v>
      </c>
      <c r="H97" s="21">
        <f>IFERROR('Cash Flow Data'!J27,0)</f>
        <v>-22</v>
      </c>
      <c r="I97" s="21">
        <f>IFERROR('Cash Flow Data'!K27,0)</f>
        <v>-21</v>
      </c>
      <c r="J97" s="21">
        <f>IFERROR('Cash Flow Data'!L27,0)</f>
        <v>-23</v>
      </c>
      <c r="K97" s="21">
        <f>IFERROR('Cash Flow Data'!M27,0)</f>
        <v>-35</v>
      </c>
      <c r="L97" s="21">
        <f>IFERROR('Cash Flow Data'!N27,0)</f>
        <v>-43</v>
      </c>
    </row>
    <row r="98" spans="2:12" x14ac:dyDescent="0.35">
      <c r="B98" t="s">
        <v>110</v>
      </c>
      <c r="C98" s="21">
        <f>IFERROR('Cash Flow Data'!E28,0)</f>
        <v>-4</v>
      </c>
      <c r="D98" s="21">
        <f>IFERROR('Cash Flow Data'!F28,0)</f>
        <v>-4</v>
      </c>
      <c r="E98" s="21">
        <f>IFERROR('Cash Flow Data'!G28,0)</f>
        <v>-4</v>
      </c>
      <c r="F98" s="21">
        <f>IFERROR('Cash Flow Data'!H28,0)</f>
        <v>-4</v>
      </c>
      <c r="G98" s="21">
        <f>IFERROR('Cash Flow Data'!I28,0)</f>
        <v>-3</v>
      </c>
      <c r="H98" s="21">
        <f>IFERROR('Cash Flow Data'!J28,0)</f>
        <v>-3</v>
      </c>
      <c r="I98" s="21">
        <f>IFERROR('Cash Flow Data'!K28,0)</f>
        <v>-3</v>
      </c>
      <c r="J98" s="21">
        <f>IFERROR('Cash Flow Data'!L28,0)</f>
        <v>-5</v>
      </c>
      <c r="K98" s="21">
        <f>IFERROR('Cash Flow Data'!M28,0)</f>
        <v>-5</v>
      </c>
      <c r="L98" s="21">
        <f>IFERROR('Cash Flow Data'!N28,0)</f>
        <v>-5</v>
      </c>
    </row>
    <row r="99" spans="2:12" x14ac:dyDescent="0.35">
      <c r="B99" t="s">
        <v>111</v>
      </c>
      <c r="C99" s="21">
        <f>IFERROR('Cash Flow Data'!E29,0)</f>
        <v>0</v>
      </c>
      <c r="D99" s="21">
        <f>IFERROR('Cash Flow Data'!F29,0)</f>
        <v>0</v>
      </c>
      <c r="E99" s="21">
        <f>IFERROR('Cash Flow Data'!G29,0)</f>
        <v>0</v>
      </c>
      <c r="F99" s="21">
        <f>IFERROR('Cash Flow Data'!H29,0)</f>
        <v>-26</v>
      </c>
      <c r="G99" s="21">
        <f>IFERROR('Cash Flow Data'!I29,0)</f>
        <v>-29</v>
      </c>
      <c r="H99" s="21">
        <f>IFERROR('Cash Flow Data'!J29,0)</f>
        <v>-36</v>
      </c>
      <c r="I99" s="21">
        <f>IFERROR('Cash Flow Data'!K29,0)</f>
        <v>-39</v>
      </c>
      <c r="J99" s="21">
        <f>IFERROR('Cash Flow Data'!L29,0)</f>
        <v>-46</v>
      </c>
      <c r="K99" s="21">
        <f>IFERROR('Cash Flow Data'!M29,0)</f>
        <v>-36</v>
      </c>
      <c r="L99" s="21">
        <f>IFERROR('Cash Flow Data'!N29,0)</f>
        <v>-54</v>
      </c>
    </row>
    <row r="100" spans="2:12" x14ac:dyDescent="0.35">
      <c r="B100" t="s">
        <v>112</v>
      </c>
      <c r="C100" s="21">
        <f>IFERROR('Cash Flow Data'!E30,0)</f>
        <v>0</v>
      </c>
      <c r="D100" s="21">
        <f>IFERROR('Cash Flow Data'!F30,0)</f>
        <v>0</v>
      </c>
      <c r="E100" s="21">
        <f>IFERROR('Cash Flow Data'!G30,0)</f>
        <v>0</v>
      </c>
      <c r="F100" s="21">
        <f>IFERROR('Cash Flow Data'!H30,0)</f>
        <v>0</v>
      </c>
      <c r="G100" s="21">
        <f>IFERROR('Cash Flow Data'!I30,0)</f>
        <v>0</v>
      </c>
      <c r="H100" s="21">
        <f>IFERROR('Cash Flow Data'!J30,0)</f>
        <v>28</v>
      </c>
      <c r="I100" s="21">
        <f>IFERROR('Cash Flow Data'!K30,0)</f>
        <v>22</v>
      </c>
      <c r="J100" s="21">
        <f>IFERROR('Cash Flow Data'!L30,0)</f>
        <v>15</v>
      </c>
      <c r="K100" s="21">
        <f>IFERROR('Cash Flow Data'!M30,0)</f>
        <v>0</v>
      </c>
      <c r="L100" s="21">
        <f>IFERROR('Cash Flow Data'!N30,0)</f>
        <v>0</v>
      </c>
    </row>
    <row r="101" spans="2:12" x14ac:dyDescent="0.35">
      <c r="B101" t="s">
        <v>113</v>
      </c>
      <c r="C101" s="21">
        <f>IFERROR('Cash Flow Data'!E31,0)</f>
        <v>-247</v>
      </c>
      <c r="D101" s="21">
        <f>IFERROR('Cash Flow Data'!F31,0)</f>
        <v>-313</v>
      </c>
      <c r="E101" s="21">
        <f>IFERROR('Cash Flow Data'!G31,0)</f>
        <v>-51</v>
      </c>
      <c r="F101" s="21">
        <f>IFERROR('Cash Flow Data'!H31,0)</f>
        <v>-260</v>
      </c>
      <c r="G101" s="21">
        <f>IFERROR('Cash Flow Data'!I31,0)</f>
        <v>-135</v>
      </c>
      <c r="H101" s="21">
        <f>IFERROR('Cash Flow Data'!J31,0)</f>
        <v>-383</v>
      </c>
      <c r="I101" s="21">
        <f>IFERROR('Cash Flow Data'!K31,0)</f>
        <v>-399</v>
      </c>
      <c r="J101" s="21">
        <f>IFERROR('Cash Flow Data'!L31,0)</f>
        <v>-46</v>
      </c>
      <c r="K101" s="21">
        <f>IFERROR('Cash Flow Data'!M31,0)</f>
        <v>-564</v>
      </c>
      <c r="L101" s="21">
        <f>IFERROR('Cash Flow Data'!N31,0)</f>
        <v>-552</v>
      </c>
    </row>
    <row r="102" spans="2:12" x14ac:dyDescent="0.35">
      <c r="B102" s="2" t="s">
        <v>125</v>
      </c>
      <c r="C102" s="23">
        <f>IFERROR(SUM(C93:C101),0)</f>
        <v>-245</v>
      </c>
      <c r="D102" s="23">
        <f t="shared" ref="D102:L102" si="24">IFERROR(SUM(D93:D101),0)</f>
        <v>-303</v>
      </c>
      <c r="E102" s="23">
        <f t="shared" si="24"/>
        <v>-55</v>
      </c>
      <c r="F102" s="23">
        <f>IFERROR(SUM(F93:F101),0)</f>
        <v>-309</v>
      </c>
      <c r="G102" s="23">
        <f t="shared" si="24"/>
        <v>-188</v>
      </c>
      <c r="H102" s="23">
        <f t="shared" si="24"/>
        <v>-416</v>
      </c>
      <c r="I102" s="23">
        <f t="shared" si="24"/>
        <v>-439</v>
      </c>
      <c r="J102" s="23">
        <f t="shared" si="24"/>
        <v>-106</v>
      </c>
      <c r="K102" s="23">
        <f t="shared" si="24"/>
        <v>-610</v>
      </c>
      <c r="L102" s="23">
        <f t="shared" si="24"/>
        <v>-622</v>
      </c>
    </row>
    <row r="104" spans="2:12" x14ac:dyDescent="0.35">
      <c r="B104" s="2" t="s">
        <v>20</v>
      </c>
      <c r="C104" s="23">
        <f>IFERROR(SUM(C102,C90,C79),0)</f>
        <v>-109</v>
      </c>
      <c r="D104" s="23">
        <f t="shared" ref="D104:L104" si="25">IFERROR(SUM(D102,D90,D79),0)</f>
        <v>27</v>
      </c>
      <c r="E104" s="23">
        <f t="shared" si="25"/>
        <v>-78</v>
      </c>
      <c r="F104" s="23">
        <f t="shared" si="25"/>
        <v>49</v>
      </c>
      <c r="G104" s="23">
        <f t="shared" si="25"/>
        <v>175</v>
      </c>
      <c r="H104" s="23">
        <f t="shared" si="25"/>
        <v>72</v>
      </c>
      <c r="I104" s="23">
        <f t="shared" si="25"/>
        <v>-1</v>
      </c>
      <c r="J104" s="23">
        <f t="shared" si="25"/>
        <v>-63</v>
      </c>
      <c r="K104" s="23">
        <f t="shared" si="25"/>
        <v>187</v>
      </c>
      <c r="L104" s="23">
        <f t="shared" si="25"/>
        <v>111</v>
      </c>
    </row>
  </sheetData>
  <mergeCells count="1">
    <mergeCell ref="B2:M2"/>
  </mergeCells>
  <pageMargins left="0.7" right="0.7" top="0.75" bottom="0.75" header="0.3" footer="0.3"/>
  <pageSetup paperSize="9" orientation="portrait" r:id="rId1"/>
  <ignoredErrors>
    <ignoredError sqref="M6 C9:K9 M9 C15:L15 M21 M24 M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K93"/>
  <sheetViews>
    <sheetView zoomScale="120" zoomScaleNormal="120" zoomScalePageLayoutView="120" workbookViewId="0">
      <pane xSplit="1" ySplit="1" topLeftCell="B53" activePane="bottomRight" state="frozen"/>
      <selection activeCell="C4" sqref="C4"/>
      <selection pane="topRight" activeCell="C4" sqref="C4"/>
      <selection pane="bottomLeft" activeCell="C4" sqref="C4"/>
      <selection pane="bottomRight" activeCell="B66" sqref="B66"/>
    </sheetView>
  </sheetViews>
  <sheetFormatPr defaultColWidth="8.81640625" defaultRowHeight="14.5" x14ac:dyDescent="0.35"/>
  <cols>
    <col min="1" max="1" width="27.6328125" style="3" bestFit="1" customWidth="1"/>
    <col min="2" max="11" width="13.453125" style="3" bestFit="1" customWidth="1"/>
    <col min="12" max="16384" width="8.81640625" style="3"/>
  </cols>
  <sheetData>
    <row r="1" spans="1:11" s="1" customFormat="1" x14ac:dyDescent="0.35">
      <c r="A1" s="1" t="s">
        <v>0</v>
      </c>
      <c r="B1" s="1" t="s">
        <v>32</v>
      </c>
      <c r="E1" s="28" t="str">
        <f>IF(B2&lt;&gt;B3, "A NEW VERSION OF THE WORKSHEET IS AVAILABLE", "")</f>
        <v/>
      </c>
      <c r="F1" s="28"/>
      <c r="G1" s="28"/>
      <c r="H1" s="28"/>
      <c r="I1" s="28"/>
      <c r="J1" s="28"/>
      <c r="K1" s="28"/>
    </row>
    <row r="2" spans="1:11" x14ac:dyDescent="0.35">
      <c r="A2" s="1" t="s">
        <v>30</v>
      </c>
      <c r="B2" s="3">
        <v>2.1</v>
      </c>
      <c r="E2" s="29" t="s">
        <v>21</v>
      </c>
      <c r="F2" s="29"/>
      <c r="G2" s="29"/>
      <c r="H2" s="29"/>
      <c r="I2" s="29"/>
      <c r="J2" s="29"/>
      <c r="K2" s="29"/>
    </row>
    <row r="3" spans="1:11" x14ac:dyDescent="0.35">
      <c r="A3" s="1" t="s">
        <v>31</v>
      </c>
      <c r="B3" s="3">
        <v>2.1</v>
      </c>
    </row>
    <row r="4" spans="1:11" x14ac:dyDescent="0.35">
      <c r="A4" s="1"/>
    </row>
    <row r="5" spans="1:11" x14ac:dyDescent="0.35">
      <c r="A5" s="1" t="s">
        <v>33</v>
      </c>
    </row>
    <row r="6" spans="1:11" x14ac:dyDescent="0.35">
      <c r="A6" s="3" t="s">
        <v>27</v>
      </c>
      <c r="B6" s="3">
        <f>IF(B9&gt;0, B9/B8, 0)</f>
        <v>9.4050712193150829</v>
      </c>
    </row>
    <row r="7" spans="1:11" x14ac:dyDescent="0.35">
      <c r="A7" s="3" t="s">
        <v>16</v>
      </c>
      <c r="B7">
        <v>10</v>
      </c>
    </row>
    <row r="8" spans="1:11" x14ac:dyDescent="0.35">
      <c r="A8" s="3" t="s">
        <v>28</v>
      </c>
      <c r="B8">
        <v>1979.8</v>
      </c>
    </row>
    <row r="9" spans="1:11" x14ac:dyDescent="0.35">
      <c r="A9" s="3" t="s">
        <v>43</v>
      </c>
      <c r="B9">
        <v>18620.16</v>
      </c>
    </row>
    <row r="15" spans="1:11" x14ac:dyDescent="0.35">
      <c r="A15" s="1" t="s">
        <v>22</v>
      </c>
    </row>
    <row r="16" spans="1:11" s="7" customFormat="1" x14ac:dyDescent="0.35">
      <c r="A16" s="6" t="s">
        <v>23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4" customFormat="1" x14ac:dyDescent="0.35">
      <c r="A17" s="4" t="s">
        <v>1</v>
      </c>
      <c r="B17">
        <v>1330.03</v>
      </c>
      <c r="C17">
        <v>1365.06</v>
      </c>
      <c r="D17">
        <v>1430.59</v>
      </c>
      <c r="E17">
        <v>1437.57</v>
      </c>
      <c r="F17">
        <v>1564.49</v>
      </c>
      <c r="G17">
        <v>2160.35</v>
      </c>
      <c r="H17">
        <v>2647.9</v>
      </c>
      <c r="I17">
        <v>2925.54</v>
      </c>
      <c r="J17">
        <v>3365.87</v>
      </c>
      <c r="K17">
        <v>4117.03</v>
      </c>
    </row>
    <row r="18" spans="1:11" s="4" customFormat="1" x14ac:dyDescent="0.35">
      <c r="A18" s="3" t="s">
        <v>44</v>
      </c>
    </row>
    <row r="19" spans="1:11" s="4" customFormat="1" x14ac:dyDescent="0.35">
      <c r="A19" s="3" t="s">
        <v>45</v>
      </c>
    </row>
    <row r="20" spans="1:11" s="4" customFormat="1" x14ac:dyDescent="0.35">
      <c r="A20" s="3" t="s">
        <v>46</v>
      </c>
      <c r="B20">
        <v>10.02</v>
      </c>
      <c r="C20">
        <v>9.3699999999999992</v>
      </c>
      <c r="D20">
        <v>10.64</v>
      </c>
      <c r="E20">
        <v>9.36</v>
      </c>
      <c r="F20">
        <v>8.75</v>
      </c>
      <c r="G20">
        <v>9.61</v>
      </c>
      <c r="H20">
        <v>13.38</v>
      </c>
      <c r="I20">
        <v>16.27</v>
      </c>
      <c r="J20">
        <v>19.82</v>
      </c>
    </row>
    <row r="21" spans="1:11" s="4" customFormat="1" x14ac:dyDescent="0.35">
      <c r="A21" s="3" t="s">
        <v>47</v>
      </c>
      <c r="B21">
        <v>63.84</v>
      </c>
      <c r="C21">
        <v>79.7</v>
      </c>
      <c r="D21">
        <v>82.25</v>
      </c>
      <c r="E21">
        <v>67.069999999999993</v>
      </c>
      <c r="F21">
        <v>61.84</v>
      </c>
      <c r="G21">
        <v>122.23</v>
      </c>
      <c r="H21">
        <v>147.29</v>
      </c>
      <c r="I21">
        <v>112.27</v>
      </c>
      <c r="J21">
        <v>146.05000000000001</v>
      </c>
    </row>
    <row r="22" spans="1:11" s="4" customFormat="1" x14ac:dyDescent="0.35">
      <c r="A22" s="3" t="s">
        <v>48</v>
      </c>
      <c r="B22">
        <v>593.61</v>
      </c>
      <c r="C22">
        <v>692.54</v>
      </c>
      <c r="D22">
        <v>787.07</v>
      </c>
      <c r="E22">
        <v>854.45</v>
      </c>
      <c r="F22">
        <v>885.56</v>
      </c>
      <c r="G22">
        <v>1195.76</v>
      </c>
      <c r="H22">
        <v>1509.76</v>
      </c>
      <c r="I22">
        <v>1738.62</v>
      </c>
      <c r="J22">
        <v>2065.92</v>
      </c>
      <c r="K22">
        <v>2524.5300000000002</v>
      </c>
    </row>
    <row r="23" spans="1:11" s="4" customFormat="1" x14ac:dyDescent="0.35">
      <c r="A23" s="3" t="s">
        <v>49</v>
      </c>
      <c r="B23">
        <v>183.77</v>
      </c>
      <c r="C23">
        <v>204.89</v>
      </c>
      <c r="D23">
        <v>230.33</v>
      </c>
      <c r="E23">
        <v>169.91</v>
      </c>
      <c r="F23">
        <v>136.47999999999999</v>
      </c>
      <c r="G23">
        <v>164.36</v>
      </c>
      <c r="H23">
        <v>246.33</v>
      </c>
      <c r="I23">
        <v>271.87</v>
      </c>
      <c r="J23">
        <v>300.43</v>
      </c>
    </row>
    <row r="24" spans="1:11" s="4" customFormat="1" x14ac:dyDescent="0.35">
      <c r="A24" s="3" t="s">
        <v>50</v>
      </c>
      <c r="B24">
        <v>17.52</v>
      </c>
      <c r="C24">
        <v>11.06</v>
      </c>
      <c r="D24">
        <v>11.45</v>
      </c>
      <c r="E24">
        <v>10.63</v>
      </c>
      <c r="F24">
        <v>22.33</v>
      </c>
      <c r="G24">
        <v>6.34</v>
      </c>
      <c r="H24">
        <v>7.86</v>
      </c>
      <c r="I24">
        <v>10.75</v>
      </c>
      <c r="J24">
        <v>24.34</v>
      </c>
      <c r="K24">
        <v>541.04999999999995</v>
      </c>
    </row>
    <row r="25" spans="1:11" s="4" customFormat="1" x14ac:dyDescent="0.35">
      <c r="A25" s="4" t="s">
        <v>4</v>
      </c>
      <c r="B25">
        <v>27.93</v>
      </c>
      <c r="C25">
        <v>61.43</v>
      </c>
      <c r="D25">
        <v>48.59</v>
      </c>
      <c r="E25">
        <v>45.42</v>
      </c>
      <c r="F25">
        <v>34.1</v>
      </c>
      <c r="G25">
        <v>24.39</v>
      </c>
      <c r="H25">
        <v>65.91</v>
      </c>
      <c r="I25">
        <v>63.8</v>
      </c>
      <c r="J25">
        <v>86.53</v>
      </c>
      <c r="K25">
        <v>101.18</v>
      </c>
    </row>
    <row r="26" spans="1:11" s="4" customFormat="1" x14ac:dyDescent="0.35">
      <c r="A26" s="4" t="s">
        <v>5</v>
      </c>
      <c r="B26">
        <v>51.8</v>
      </c>
      <c r="C26">
        <v>48.24</v>
      </c>
      <c r="D26">
        <v>44.69</v>
      </c>
      <c r="E26">
        <v>70.900000000000006</v>
      </c>
      <c r="F26">
        <v>81.59</v>
      </c>
      <c r="G26">
        <v>103.19</v>
      </c>
      <c r="H26">
        <v>114.01</v>
      </c>
      <c r="I26">
        <v>125.77</v>
      </c>
      <c r="J26">
        <v>141.19</v>
      </c>
      <c r="K26">
        <v>175.37</v>
      </c>
    </row>
    <row r="27" spans="1:11" s="4" customFormat="1" x14ac:dyDescent="0.35">
      <c r="A27" s="4" t="s">
        <v>6</v>
      </c>
      <c r="B27">
        <v>1.57</v>
      </c>
      <c r="C27">
        <v>1.17</v>
      </c>
      <c r="D27">
        <v>1.27</v>
      </c>
      <c r="E27">
        <v>20.16</v>
      </c>
      <c r="F27">
        <v>21.42</v>
      </c>
      <c r="G27">
        <v>22.76</v>
      </c>
      <c r="H27">
        <v>22.19</v>
      </c>
      <c r="I27">
        <v>24.45</v>
      </c>
      <c r="J27">
        <v>36.119999999999997</v>
      </c>
      <c r="K27">
        <v>42.14</v>
      </c>
    </row>
    <row r="28" spans="1:11" s="4" customFormat="1" x14ac:dyDescent="0.35">
      <c r="A28" s="4" t="s">
        <v>7</v>
      </c>
      <c r="B28">
        <v>435.83</v>
      </c>
      <c r="C28">
        <v>379.52</v>
      </c>
      <c r="D28">
        <v>311.48</v>
      </c>
      <c r="E28">
        <v>280.51</v>
      </c>
      <c r="F28">
        <v>380.62</v>
      </c>
      <c r="G28">
        <v>560.49</v>
      </c>
      <c r="H28">
        <v>652.99</v>
      </c>
      <c r="I28">
        <v>689.34</v>
      </c>
      <c r="J28">
        <v>718.53</v>
      </c>
      <c r="K28">
        <v>935.12</v>
      </c>
    </row>
    <row r="29" spans="1:11" s="4" customFormat="1" x14ac:dyDescent="0.35">
      <c r="A29" s="4" t="s">
        <v>8</v>
      </c>
      <c r="B29">
        <v>81.91</v>
      </c>
      <c r="C29">
        <v>89.58</v>
      </c>
      <c r="D29">
        <v>83.17</v>
      </c>
      <c r="E29">
        <v>71.55</v>
      </c>
      <c r="F29">
        <v>97.8</v>
      </c>
      <c r="G29">
        <v>142.72999999999999</v>
      </c>
      <c r="H29">
        <v>163.80000000000001</v>
      </c>
      <c r="I29">
        <v>177.61</v>
      </c>
      <c r="J29">
        <v>177.27</v>
      </c>
      <c r="K29">
        <v>228.65</v>
      </c>
    </row>
    <row r="30" spans="1:11" s="4" customFormat="1" x14ac:dyDescent="0.35">
      <c r="A30" s="4" t="s">
        <v>9</v>
      </c>
      <c r="B30">
        <v>354.03</v>
      </c>
      <c r="C30">
        <v>289.98</v>
      </c>
      <c r="D30">
        <v>228.26</v>
      </c>
      <c r="E30">
        <v>208.98</v>
      </c>
      <c r="F30">
        <v>282.56</v>
      </c>
      <c r="G30">
        <v>417.4</v>
      </c>
      <c r="H30">
        <v>488.82</v>
      </c>
      <c r="I30">
        <v>511.46</v>
      </c>
      <c r="J30">
        <v>541.09</v>
      </c>
      <c r="K30">
        <v>706.21</v>
      </c>
    </row>
    <row r="31" spans="1:11" s="4" customFormat="1" x14ac:dyDescent="0.35">
      <c r="A31" s="4" t="s">
        <v>34</v>
      </c>
      <c r="B31">
        <v>3.97</v>
      </c>
      <c r="C31">
        <v>3.81</v>
      </c>
      <c r="D31">
        <v>3.78</v>
      </c>
      <c r="E31">
        <v>3.61</v>
      </c>
      <c r="F31">
        <v>3.4</v>
      </c>
      <c r="G31">
        <v>3.31</v>
      </c>
      <c r="H31">
        <v>4.8</v>
      </c>
      <c r="I31">
        <v>4.82</v>
      </c>
      <c r="J31">
        <v>4.7</v>
      </c>
      <c r="K31">
        <v>9.1999999999999993</v>
      </c>
    </row>
    <row r="32" spans="1:11" s="4" customFormat="1" x14ac:dyDescent="0.35"/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1" t="s">
        <v>24</v>
      </c>
    </row>
    <row r="41" spans="1:11" s="7" customFormat="1" x14ac:dyDescent="0.35">
      <c r="A41" s="6" t="s">
        <v>23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s="4" customFormat="1" x14ac:dyDescent="0.35">
      <c r="A42" s="4" t="s">
        <v>1</v>
      </c>
      <c r="B42">
        <v>752.76</v>
      </c>
      <c r="C42">
        <v>766.53</v>
      </c>
      <c r="D42">
        <v>781.92</v>
      </c>
      <c r="E42">
        <v>831.84</v>
      </c>
      <c r="F42">
        <v>853.82</v>
      </c>
      <c r="G42">
        <v>898.29</v>
      </c>
      <c r="H42">
        <v>934.56</v>
      </c>
      <c r="I42">
        <v>1004.85</v>
      </c>
      <c r="J42">
        <v>1070.33</v>
      </c>
      <c r="K42">
        <v>1107.29</v>
      </c>
    </row>
    <row r="43" spans="1:11" s="4" customFormat="1" x14ac:dyDescent="0.35">
      <c r="A43" s="4" t="s">
        <v>2</v>
      </c>
      <c r="B43">
        <v>545.53</v>
      </c>
      <c r="C43">
        <v>571</v>
      </c>
      <c r="D43">
        <v>615.54999999999995</v>
      </c>
      <c r="E43">
        <v>616.17999999999995</v>
      </c>
      <c r="F43">
        <v>646.34</v>
      </c>
      <c r="G43">
        <v>679.71</v>
      </c>
      <c r="H43">
        <v>714.03</v>
      </c>
      <c r="I43">
        <v>733.78</v>
      </c>
      <c r="J43">
        <v>794.07</v>
      </c>
      <c r="K43">
        <v>823.7</v>
      </c>
    </row>
    <row r="44" spans="1:11" s="4" customFormat="1" x14ac:dyDescent="0.35">
      <c r="A44" s="4" t="s">
        <v>4</v>
      </c>
      <c r="B44">
        <v>18.95</v>
      </c>
      <c r="C44">
        <v>23.05</v>
      </c>
      <c r="D44">
        <v>20.91</v>
      </c>
      <c r="E44">
        <v>13.12</v>
      </c>
      <c r="F44">
        <v>20.58</v>
      </c>
      <c r="G44">
        <v>31.92</v>
      </c>
      <c r="H44">
        <v>14.11</v>
      </c>
      <c r="I44">
        <v>27.24</v>
      </c>
      <c r="J44">
        <v>30.07</v>
      </c>
      <c r="K44">
        <v>29.76</v>
      </c>
    </row>
    <row r="45" spans="1:11" s="4" customFormat="1" x14ac:dyDescent="0.35">
      <c r="A45" s="4" t="s">
        <v>5</v>
      </c>
      <c r="B45">
        <v>33.53</v>
      </c>
      <c r="C45">
        <v>33.53</v>
      </c>
      <c r="D45">
        <v>31.65</v>
      </c>
      <c r="E45">
        <v>32.799999999999997</v>
      </c>
      <c r="F45">
        <v>35.78</v>
      </c>
      <c r="G45">
        <v>40.96</v>
      </c>
      <c r="H45">
        <v>36.9</v>
      </c>
      <c r="I45">
        <v>42.5</v>
      </c>
      <c r="J45">
        <v>46.31</v>
      </c>
      <c r="K45">
        <v>49.66</v>
      </c>
    </row>
    <row r="46" spans="1:11" s="4" customFormat="1" x14ac:dyDescent="0.35">
      <c r="A46" s="4" t="s">
        <v>6</v>
      </c>
      <c r="B46">
        <v>5.86</v>
      </c>
      <c r="C46">
        <v>5.58</v>
      </c>
      <c r="D46">
        <v>7.72</v>
      </c>
      <c r="E46">
        <v>8.1199999999999992</v>
      </c>
      <c r="F46">
        <v>8.2799999999999994</v>
      </c>
      <c r="G46">
        <v>10.78</v>
      </c>
      <c r="H46">
        <v>9.69</v>
      </c>
      <c r="I46">
        <v>10.8</v>
      </c>
      <c r="J46">
        <v>9.91</v>
      </c>
      <c r="K46">
        <v>11.74</v>
      </c>
    </row>
    <row r="47" spans="1:11" s="4" customFormat="1" x14ac:dyDescent="0.35">
      <c r="A47" s="4" t="s">
        <v>7</v>
      </c>
      <c r="B47">
        <v>186.79</v>
      </c>
      <c r="C47">
        <v>179.47</v>
      </c>
      <c r="D47">
        <v>147.91</v>
      </c>
      <c r="E47">
        <v>187.86</v>
      </c>
      <c r="F47">
        <v>184</v>
      </c>
      <c r="G47">
        <v>198.76</v>
      </c>
      <c r="H47">
        <v>188.05</v>
      </c>
      <c r="I47">
        <v>245.01</v>
      </c>
      <c r="J47">
        <v>250.11</v>
      </c>
      <c r="K47">
        <v>251.95</v>
      </c>
    </row>
    <row r="48" spans="1:11" s="4" customFormat="1" x14ac:dyDescent="0.35">
      <c r="A48" s="4" t="s">
        <v>8</v>
      </c>
      <c r="B48">
        <v>47.73</v>
      </c>
      <c r="C48">
        <v>49.58</v>
      </c>
      <c r="D48">
        <v>35.869999999999997</v>
      </c>
      <c r="E48">
        <v>48.36</v>
      </c>
      <c r="F48">
        <v>46.8</v>
      </c>
      <c r="G48">
        <v>46.24</v>
      </c>
      <c r="H48">
        <v>46.5</v>
      </c>
      <c r="I48">
        <v>61.54</v>
      </c>
      <c r="J48">
        <v>58.3</v>
      </c>
      <c r="K48">
        <v>62.3</v>
      </c>
    </row>
    <row r="49" spans="1:11" s="4" customFormat="1" x14ac:dyDescent="0.35">
      <c r="A49" s="4" t="s">
        <v>9</v>
      </c>
      <c r="B49">
        <v>138.63</v>
      </c>
      <c r="C49">
        <v>130.53</v>
      </c>
      <c r="D49">
        <v>111.61</v>
      </c>
      <c r="E49">
        <v>140.25</v>
      </c>
      <c r="F49">
        <v>137.07</v>
      </c>
      <c r="G49">
        <v>152.16</v>
      </c>
      <c r="H49">
        <v>141.68</v>
      </c>
      <c r="I49">
        <v>183.19</v>
      </c>
      <c r="J49">
        <v>191.98</v>
      </c>
      <c r="K49">
        <v>189.36</v>
      </c>
    </row>
    <row r="50" spans="1:11" x14ac:dyDescent="0.35">
      <c r="A50" s="4" t="s">
        <v>3</v>
      </c>
      <c r="B50">
        <v>207.23</v>
      </c>
      <c r="C50">
        <v>195.53</v>
      </c>
      <c r="D50">
        <v>166.37</v>
      </c>
      <c r="E50">
        <v>215.66</v>
      </c>
      <c r="F50">
        <v>207.48</v>
      </c>
      <c r="G50">
        <v>218.58</v>
      </c>
      <c r="H50">
        <v>220.53</v>
      </c>
      <c r="I50">
        <v>271.07</v>
      </c>
      <c r="J50">
        <v>276.26</v>
      </c>
      <c r="K50">
        <v>283.58999999999997</v>
      </c>
    </row>
    <row r="51" spans="1:11" x14ac:dyDescent="0.35">
      <c r="A51" s="4"/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1" t="s">
        <v>25</v>
      </c>
    </row>
    <row r="56" spans="1:11" s="7" customFormat="1" x14ac:dyDescent="0.35">
      <c r="A56" s="6" t="s">
        <v>23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5">
      <c r="A57" s="4" t="s">
        <v>10</v>
      </c>
      <c r="B57">
        <v>39.71</v>
      </c>
      <c r="C57">
        <v>38.14</v>
      </c>
      <c r="D57">
        <v>37.79</v>
      </c>
      <c r="E57">
        <v>36.1</v>
      </c>
      <c r="F57">
        <v>34.01</v>
      </c>
      <c r="G57">
        <v>33.1</v>
      </c>
      <c r="H57">
        <v>48.03</v>
      </c>
      <c r="I57">
        <v>48.23</v>
      </c>
      <c r="J57">
        <v>46.96</v>
      </c>
      <c r="K57">
        <v>92.03</v>
      </c>
    </row>
    <row r="58" spans="1:11" x14ac:dyDescent="0.35">
      <c r="A58" s="4" t="s">
        <v>11</v>
      </c>
      <c r="B58">
        <v>1175.6400000000001</v>
      </c>
      <c r="C58">
        <v>1166.6099999999999</v>
      </c>
      <c r="D58">
        <v>1343.51</v>
      </c>
      <c r="E58">
        <v>1270.1199999999999</v>
      </c>
      <c r="F58">
        <v>1466.81</v>
      </c>
      <c r="G58">
        <v>1534.49</v>
      </c>
      <c r="H58">
        <v>1666.84</v>
      </c>
      <c r="I58">
        <v>2199.27</v>
      </c>
      <c r="J58">
        <v>2258.8000000000002</v>
      </c>
      <c r="K58">
        <v>2469.37</v>
      </c>
    </row>
    <row r="59" spans="1:11" x14ac:dyDescent="0.35">
      <c r="A59" s="4" t="s">
        <v>35</v>
      </c>
      <c r="B59">
        <v>1.06</v>
      </c>
      <c r="C59">
        <v>6.34</v>
      </c>
      <c r="D59">
        <v>1.67</v>
      </c>
      <c r="E59">
        <v>156.6</v>
      </c>
      <c r="F59">
        <v>174.73</v>
      </c>
      <c r="G59">
        <v>163.12</v>
      </c>
      <c r="H59">
        <v>193.56</v>
      </c>
      <c r="I59">
        <v>265.74</v>
      </c>
      <c r="J59">
        <v>358.13</v>
      </c>
      <c r="K59">
        <v>384.96</v>
      </c>
    </row>
    <row r="60" spans="1:11" x14ac:dyDescent="0.35">
      <c r="A60" s="4" t="s">
        <v>36</v>
      </c>
      <c r="B60">
        <v>181.73</v>
      </c>
      <c r="C60">
        <v>207.8</v>
      </c>
      <c r="D60">
        <v>201.01</v>
      </c>
      <c r="E60">
        <v>260.2</v>
      </c>
      <c r="F60">
        <v>315</v>
      </c>
      <c r="G60">
        <v>324.48</v>
      </c>
      <c r="H60">
        <v>365.47</v>
      </c>
      <c r="I60">
        <v>406.15</v>
      </c>
      <c r="J60">
        <v>475.04</v>
      </c>
      <c r="K60">
        <v>750.66</v>
      </c>
    </row>
    <row r="61" spans="1:11" s="1" customFormat="1" x14ac:dyDescent="0.35">
      <c r="A61" s="1" t="s">
        <v>12</v>
      </c>
      <c r="B61">
        <v>1398.14</v>
      </c>
      <c r="C61">
        <v>1418.89</v>
      </c>
      <c r="D61">
        <v>1583.98</v>
      </c>
      <c r="E61">
        <v>1723.02</v>
      </c>
      <c r="F61">
        <v>1990.55</v>
      </c>
      <c r="G61">
        <v>2055.19</v>
      </c>
      <c r="H61">
        <v>2273.9</v>
      </c>
      <c r="I61">
        <v>2919.39</v>
      </c>
      <c r="J61">
        <v>3138.93</v>
      </c>
      <c r="K61">
        <v>3697.02</v>
      </c>
    </row>
    <row r="62" spans="1:11" x14ac:dyDescent="0.35">
      <c r="A62" s="4" t="s">
        <v>13</v>
      </c>
      <c r="B62">
        <v>325.06</v>
      </c>
      <c r="C62">
        <v>343.43</v>
      </c>
      <c r="D62">
        <v>347.91</v>
      </c>
      <c r="E62">
        <v>479.74</v>
      </c>
      <c r="F62">
        <v>728.03</v>
      </c>
      <c r="G62">
        <v>712.56</v>
      </c>
      <c r="H62">
        <v>772.51</v>
      </c>
      <c r="I62">
        <v>842.95</v>
      </c>
      <c r="J62">
        <v>973.92</v>
      </c>
      <c r="K62">
        <v>1053.94</v>
      </c>
    </row>
    <row r="63" spans="1:11" x14ac:dyDescent="0.35">
      <c r="A63" s="4" t="s">
        <v>14</v>
      </c>
      <c r="B63">
        <v>1.85</v>
      </c>
      <c r="C63">
        <v>0.09</v>
      </c>
      <c r="D63">
        <v>0.17</v>
      </c>
      <c r="E63">
        <v>0.8</v>
      </c>
      <c r="F63">
        <v>0.48</v>
      </c>
      <c r="G63">
        <v>2.17</v>
      </c>
      <c r="H63">
        <v>20.82</v>
      </c>
      <c r="I63">
        <v>0.77</v>
      </c>
      <c r="J63">
        <v>0.19</v>
      </c>
      <c r="K63">
        <v>4.92</v>
      </c>
    </row>
    <row r="64" spans="1:11" x14ac:dyDescent="0.35">
      <c r="A64" s="4" t="s">
        <v>15</v>
      </c>
      <c r="B64">
        <v>251.64</v>
      </c>
      <c r="C64">
        <v>165.27</v>
      </c>
      <c r="D64">
        <v>286.26</v>
      </c>
      <c r="E64">
        <v>436.79</v>
      </c>
      <c r="F64">
        <v>228.62</v>
      </c>
      <c r="G64">
        <v>195.88</v>
      </c>
      <c r="H64">
        <v>274.51</v>
      </c>
      <c r="I64">
        <v>406.5</v>
      </c>
      <c r="J64">
        <v>309.02</v>
      </c>
      <c r="K64">
        <v>307.85000000000002</v>
      </c>
    </row>
    <row r="65" spans="1:11" x14ac:dyDescent="0.35">
      <c r="A65" s="4" t="s">
        <v>37</v>
      </c>
      <c r="B65">
        <v>819.59</v>
      </c>
      <c r="C65">
        <v>910.1</v>
      </c>
      <c r="D65">
        <v>949.64</v>
      </c>
      <c r="E65">
        <v>805.69</v>
      </c>
      <c r="F65">
        <v>1033.42</v>
      </c>
      <c r="G65">
        <v>1144.58</v>
      </c>
      <c r="H65">
        <v>1206.06</v>
      </c>
      <c r="I65">
        <v>1669.17</v>
      </c>
      <c r="J65">
        <v>1855.8</v>
      </c>
      <c r="K65">
        <v>2330.31</v>
      </c>
    </row>
    <row r="66" spans="1:11" s="1" customFormat="1" x14ac:dyDescent="0.35">
      <c r="A66" s="1" t="s">
        <v>12</v>
      </c>
      <c r="B66">
        <v>1398.14</v>
      </c>
      <c r="C66">
        <v>1418.89</v>
      </c>
      <c r="D66">
        <v>1583.98</v>
      </c>
      <c r="E66">
        <v>1723.02</v>
      </c>
      <c r="F66">
        <v>1990.55</v>
      </c>
      <c r="G66">
        <v>2055.19</v>
      </c>
      <c r="H66">
        <v>2273.9</v>
      </c>
      <c r="I66">
        <v>2919.39</v>
      </c>
      <c r="J66">
        <v>3138.93</v>
      </c>
      <c r="K66">
        <v>3697.02</v>
      </c>
    </row>
    <row r="67" spans="1:11" s="4" customFormat="1" x14ac:dyDescent="0.35">
      <c r="A67" s="4" t="s">
        <v>42</v>
      </c>
      <c r="B67">
        <v>213.83</v>
      </c>
      <c r="C67">
        <v>232.85</v>
      </c>
      <c r="D67">
        <v>242.59</v>
      </c>
      <c r="E67">
        <v>237.78</v>
      </c>
      <c r="F67">
        <v>293.02</v>
      </c>
      <c r="G67">
        <v>329.27</v>
      </c>
      <c r="H67">
        <v>440.49</v>
      </c>
      <c r="I67">
        <v>496</v>
      </c>
      <c r="J67">
        <v>789.88</v>
      </c>
      <c r="K67">
        <v>666.45</v>
      </c>
    </row>
    <row r="68" spans="1:11" x14ac:dyDescent="0.35">
      <c r="A68" s="4" t="s">
        <v>29</v>
      </c>
      <c r="B68">
        <v>0.25</v>
      </c>
      <c r="C68">
        <v>0.44</v>
      </c>
      <c r="D68">
        <v>0.36</v>
      </c>
      <c r="E68">
        <v>0.3</v>
      </c>
      <c r="F68">
        <v>0.32</v>
      </c>
      <c r="G68">
        <v>0.52</v>
      </c>
      <c r="H68">
        <v>0.45</v>
      </c>
      <c r="I68">
        <v>0.65</v>
      </c>
      <c r="J68">
        <v>0.23</v>
      </c>
      <c r="K68">
        <v>0.62</v>
      </c>
    </row>
    <row r="69" spans="1:11" x14ac:dyDescent="0.35">
      <c r="A69" s="3" t="s">
        <v>51</v>
      </c>
      <c r="B69">
        <v>355.66</v>
      </c>
      <c r="C69">
        <v>440.27</v>
      </c>
      <c r="D69">
        <v>451.55</v>
      </c>
      <c r="E69">
        <v>334.5</v>
      </c>
      <c r="F69">
        <v>490.86</v>
      </c>
      <c r="G69">
        <v>493.64</v>
      </c>
      <c r="H69">
        <v>427.93</v>
      </c>
      <c r="I69">
        <v>692.09</v>
      </c>
      <c r="J69">
        <v>739.13</v>
      </c>
      <c r="K69">
        <v>737.99</v>
      </c>
    </row>
    <row r="70" spans="1:11" x14ac:dyDescent="0.35">
      <c r="A70" s="3" t="s">
        <v>38</v>
      </c>
      <c r="B70">
        <v>39709058</v>
      </c>
      <c r="C70">
        <v>38141422</v>
      </c>
      <c r="D70">
        <v>37790235</v>
      </c>
      <c r="E70">
        <v>36099796</v>
      </c>
      <c r="F70">
        <v>34005981</v>
      </c>
      <c r="G70">
        <v>33098094</v>
      </c>
      <c r="H70">
        <v>48033979</v>
      </c>
      <c r="I70">
        <v>48232242</v>
      </c>
      <c r="J70">
        <v>46960349</v>
      </c>
    </row>
    <row r="71" spans="1:11" x14ac:dyDescent="0.35">
      <c r="A71" s="3" t="s">
        <v>39</v>
      </c>
    </row>
    <row r="72" spans="1:11" x14ac:dyDescent="0.35">
      <c r="A72" s="3" t="s">
        <v>52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5">
      <c r="A74" s="4"/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1" t="s">
        <v>26</v>
      </c>
    </row>
    <row r="81" spans="1:11" s="7" customFormat="1" x14ac:dyDescent="0.35">
      <c r="A81" s="6" t="s">
        <v>23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35">
      <c r="A82" s="4" t="s">
        <v>17</v>
      </c>
      <c r="B82">
        <v>312.43</v>
      </c>
      <c r="C82">
        <v>305</v>
      </c>
      <c r="D82">
        <v>206.16</v>
      </c>
      <c r="E82">
        <v>332.8</v>
      </c>
      <c r="F82">
        <v>364.57</v>
      </c>
      <c r="G82">
        <v>443.96</v>
      </c>
      <c r="H82">
        <v>492.57</v>
      </c>
      <c r="I82">
        <v>525.89</v>
      </c>
      <c r="J82">
        <v>654.62</v>
      </c>
      <c r="K82">
        <v>873.47</v>
      </c>
    </row>
    <row r="83" spans="1:11" s="4" customFormat="1" x14ac:dyDescent="0.35">
      <c r="A83" s="4" t="s">
        <v>18</v>
      </c>
      <c r="B83">
        <v>-175.38</v>
      </c>
      <c r="C83">
        <v>26.31</v>
      </c>
      <c r="D83">
        <v>-229.69</v>
      </c>
      <c r="E83">
        <v>24.38</v>
      </c>
      <c r="F83">
        <v>-1.8</v>
      </c>
      <c r="G83">
        <v>43.66</v>
      </c>
      <c r="H83">
        <v>-54.8</v>
      </c>
      <c r="I83">
        <v>-483.44</v>
      </c>
      <c r="J83">
        <v>142.72999999999999</v>
      </c>
      <c r="K83">
        <v>-140.82</v>
      </c>
    </row>
    <row r="84" spans="1:11" s="4" customFormat="1" x14ac:dyDescent="0.35">
      <c r="A84" s="4" t="s">
        <v>19</v>
      </c>
      <c r="B84">
        <v>-245.29</v>
      </c>
      <c r="C84">
        <v>-303.51</v>
      </c>
      <c r="D84">
        <v>-53.87</v>
      </c>
      <c r="E84">
        <v>-308.24</v>
      </c>
      <c r="F84">
        <v>-188.31</v>
      </c>
      <c r="G84">
        <v>-416.34</v>
      </c>
      <c r="H84">
        <v>-440.07</v>
      </c>
      <c r="I84">
        <v>-106.51</v>
      </c>
      <c r="J84">
        <v>-609.6</v>
      </c>
      <c r="K84">
        <v>-621.57000000000005</v>
      </c>
    </row>
    <row r="85" spans="1:11" s="1" customFormat="1" x14ac:dyDescent="0.35">
      <c r="A85" s="4" t="s">
        <v>20</v>
      </c>
      <c r="B85">
        <v>-108.25</v>
      </c>
      <c r="C85">
        <v>27.8</v>
      </c>
      <c r="D85">
        <v>-77.41</v>
      </c>
      <c r="E85">
        <v>48.94</v>
      </c>
      <c r="F85">
        <v>174.46</v>
      </c>
      <c r="G85">
        <v>71.28</v>
      </c>
      <c r="H85">
        <v>-2.2999999999999998</v>
      </c>
      <c r="I85">
        <v>-64.05</v>
      </c>
      <c r="J85">
        <v>187.74</v>
      </c>
      <c r="K85">
        <v>111.08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1" customFormat="1" x14ac:dyDescent="0.35">
      <c r="A90" s="1" t="s">
        <v>41</v>
      </c>
      <c r="B90">
        <v>470.17</v>
      </c>
      <c r="C90">
        <v>400.5</v>
      </c>
      <c r="D90">
        <v>382.55</v>
      </c>
      <c r="E90">
        <v>121.8</v>
      </c>
      <c r="F90">
        <v>367.67</v>
      </c>
      <c r="G90">
        <v>790.4</v>
      </c>
      <c r="H90">
        <v>645.20000000000005</v>
      </c>
      <c r="I90">
        <v>1183.6500000000001</v>
      </c>
      <c r="J90">
        <v>1388.5</v>
      </c>
      <c r="K90">
        <v>1387.2</v>
      </c>
    </row>
    <row r="92" spans="1:11" s="1" customFormat="1" x14ac:dyDescent="0.35">
      <c r="A92" s="1" t="s">
        <v>40</v>
      </c>
    </row>
    <row r="93" spans="1:11" x14ac:dyDescent="0.35">
      <c r="A93" s="3" t="s">
        <v>53</v>
      </c>
      <c r="B93" s="8">
        <v>11.94</v>
      </c>
      <c r="C93" s="8">
        <v>11.6</v>
      </c>
      <c r="D93" s="8">
        <v>11.61</v>
      </c>
      <c r="E93" s="8">
        <v>11.1</v>
      </c>
      <c r="F93" s="8">
        <v>10.47</v>
      </c>
      <c r="G93" s="8">
        <v>10.16</v>
      </c>
      <c r="H93" s="8">
        <v>9.81</v>
      </c>
      <c r="I93" s="8">
        <v>9.81</v>
      </c>
      <c r="J93" s="8">
        <v>9.5299999999999994</v>
      </c>
      <c r="K93" s="8">
        <v>9.41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21E3-A930-4CE4-85CE-32A27A1120E4}">
  <sheetPr>
    <tabColor theme="5" tint="0.79998168889431442"/>
  </sheetPr>
  <dimension ref="B2:N34"/>
  <sheetViews>
    <sheetView workbookViewId="0">
      <selection activeCell="F29" sqref="F29"/>
    </sheetView>
  </sheetViews>
  <sheetFormatPr defaultRowHeight="14.5" x14ac:dyDescent="0.35"/>
  <cols>
    <col min="2" max="2" width="26" bestFit="1" customWidth="1"/>
    <col min="3" max="14" width="6.90625" bestFit="1" customWidth="1"/>
  </cols>
  <sheetData>
    <row r="2" spans="2:14" x14ac:dyDescent="0.35">
      <c r="B2" s="24"/>
      <c r="C2" s="24">
        <v>42064</v>
      </c>
      <c r="D2" s="24">
        <v>42430</v>
      </c>
      <c r="E2" s="24">
        <v>42795</v>
      </c>
      <c r="F2" s="24">
        <v>43160</v>
      </c>
      <c r="G2" s="24">
        <v>43525</v>
      </c>
      <c r="H2" s="24">
        <v>43891</v>
      </c>
      <c r="I2" s="24">
        <v>44256</v>
      </c>
      <c r="J2" s="24">
        <v>44621</v>
      </c>
      <c r="K2" s="24">
        <v>44986</v>
      </c>
      <c r="L2" s="24">
        <v>45352</v>
      </c>
      <c r="M2" s="24">
        <v>45717</v>
      </c>
      <c r="N2" s="24">
        <v>46082</v>
      </c>
    </row>
    <row r="3" spans="2:14" x14ac:dyDescent="0.35">
      <c r="B3" t="s">
        <v>116</v>
      </c>
      <c r="C3">
        <v>243</v>
      </c>
      <c r="D3">
        <v>418</v>
      </c>
      <c r="E3">
        <v>312</v>
      </c>
      <c r="F3">
        <v>305</v>
      </c>
      <c r="G3">
        <v>206</v>
      </c>
      <c r="H3">
        <v>333</v>
      </c>
      <c r="I3">
        <v>365</v>
      </c>
      <c r="J3">
        <v>444</v>
      </c>
      <c r="K3">
        <v>493</v>
      </c>
      <c r="L3">
        <v>526</v>
      </c>
      <c r="M3">
        <v>655</v>
      </c>
      <c r="N3">
        <v>873</v>
      </c>
    </row>
    <row r="4" spans="2:14" x14ac:dyDescent="0.35">
      <c r="B4" t="s">
        <v>90</v>
      </c>
      <c r="C4">
        <v>325</v>
      </c>
      <c r="D4">
        <v>514</v>
      </c>
      <c r="E4">
        <v>462</v>
      </c>
      <c r="F4">
        <v>402</v>
      </c>
      <c r="G4">
        <v>329</v>
      </c>
      <c r="H4">
        <v>343</v>
      </c>
      <c r="I4">
        <v>458</v>
      </c>
      <c r="J4">
        <v>679</v>
      </c>
      <c r="K4">
        <v>758</v>
      </c>
      <c r="L4">
        <v>826</v>
      </c>
      <c r="M4">
        <v>901</v>
      </c>
      <c r="N4" s="25">
        <v>1198</v>
      </c>
    </row>
    <row r="5" spans="2:14" x14ac:dyDescent="0.35">
      <c r="B5" t="s">
        <v>42</v>
      </c>
      <c r="C5">
        <v>-26</v>
      </c>
      <c r="D5">
        <v>-63</v>
      </c>
      <c r="E5">
        <v>-33</v>
      </c>
      <c r="F5">
        <v>-15</v>
      </c>
      <c r="G5">
        <v>-15</v>
      </c>
      <c r="H5">
        <v>10</v>
      </c>
      <c r="I5">
        <v>-30</v>
      </c>
      <c r="J5">
        <v>-37</v>
      </c>
      <c r="K5">
        <v>-112</v>
      </c>
      <c r="L5">
        <v>-55</v>
      </c>
      <c r="M5">
        <v>-93</v>
      </c>
      <c r="N5">
        <v>-237</v>
      </c>
    </row>
    <row r="6" spans="2:14" x14ac:dyDescent="0.35">
      <c r="B6" t="s">
        <v>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2:14" x14ac:dyDescent="0.35">
      <c r="B7" t="s">
        <v>91</v>
      </c>
      <c r="C7">
        <v>1</v>
      </c>
      <c r="D7">
        <v>32</v>
      </c>
      <c r="E7">
        <v>-12</v>
      </c>
      <c r="F7">
        <v>18</v>
      </c>
      <c r="G7">
        <v>-3</v>
      </c>
      <c r="H7">
        <v>0</v>
      </c>
      <c r="I7">
        <v>7</v>
      </c>
      <c r="J7">
        <v>15</v>
      </c>
      <c r="K7">
        <v>20</v>
      </c>
      <c r="L7">
        <v>11</v>
      </c>
      <c r="M7">
        <v>21</v>
      </c>
      <c r="N7">
        <v>53</v>
      </c>
    </row>
    <row r="8" spans="2:14" x14ac:dyDescent="0.35">
      <c r="B8" t="s">
        <v>92</v>
      </c>
      <c r="C8">
        <v>-8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5">
      <c r="B9" t="s">
        <v>93</v>
      </c>
      <c r="C9">
        <v>19</v>
      </c>
      <c r="D9">
        <v>48</v>
      </c>
      <c r="E9">
        <v>-3</v>
      </c>
      <c r="F9">
        <v>-6</v>
      </c>
      <c r="G9">
        <v>-12</v>
      </c>
      <c r="H9">
        <v>39</v>
      </c>
      <c r="I9">
        <v>31</v>
      </c>
      <c r="J9">
        <v>-48</v>
      </c>
      <c r="K9">
        <v>5</v>
      </c>
      <c r="L9">
        <v>-84</v>
      </c>
      <c r="M9">
        <v>-11</v>
      </c>
      <c r="N9">
        <v>85</v>
      </c>
    </row>
    <row r="10" spans="2:14" x14ac:dyDescent="0.35">
      <c r="B10" t="s">
        <v>94</v>
      </c>
      <c r="C10">
        <v>-15</v>
      </c>
      <c r="D10">
        <v>16</v>
      </c>
      <c r="E10">
        <v>-47</v>
      </c>
      <c r="F10">
        <v>-3</v>
      </c>
      <c r="G10">
        <v>-30</v>
      </c>
      <c r="H10">
        <v>49</v>
      </c>
      <c r="I10">
        <v>7</v>
      </c>
      <c r="J10">
        <v>-70</v>
      </c>
      <c r="K10">
        <v>-87</v>
      </c>
      <c r="L10">
        <v>-128</v>
      </c>
      <c r="M10">
        <v>-82</v>
      </c>
      <c r="N10">
        <v>-99</v>
      </c>
    </row>
    <row r="11" spans="2:14" x14ac:dyDescent="0.35">
      <c r="B11" t="s">
        <v>95</v>
      </c>
      <c r="C11">
        <v>-68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-164</v>
      </c>
      <c r="K11">
        <v>-178</v>
      </c>
      <c r="L11">
        <v>-172</v>
      </c>
      <c r="M11">
        <v>-164</v>
      </c>
      <c r="N11">
        <v>-225</v>
      </c>
    </row>
    <row r="12" spans="2:14" x14ac:dyDescent="0.35">
      <c r="B12" t="s">
        <v>96</v>
      </c>
      <c r="C12">
        <v>0</v>
      </c>
      <c r="D12">
        <v>-113</v>
      </c>
      <c r="E12">
        <v>-103</v>
      </c>
      <c r="F12">
        <v>-95</v>
      </c>
      <c r="G12">
        <v>-93</v>
      </c>
      <c r="H12">
        <v>-59</v>
      </c>
      <c r="I12">
        <v>-100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2:14" x14ac:dyDescent="0.35">
      <c r="B13" t="s">
        <v>117</v>
      </c>
      <c r="C13">
        <v>-62</v>
      </c>
      <c r="D13">
        <v>-167</v>
      </c>
      <c r="E13">
        <v>-175</v>
      </c>
      <c r="F13">
        <v>26</v>
      </c>
      <c r="G13">
        <v>-230</v>
      </c>
      <c r="H13">
        <v>24</v>
      </c>
      <c r="I13">
        <v>-2</v>
      </c>
      <c r="J13">
        <v>44</v>
      </c>
      <c r="K13">
        <v>-55</v>
      </c>
      <c r="L13">
        <v>-483</v>
      </c>
      <c r="M13">
        <v>143</v>
      </c>
      <c r="N13">
        <v>-141</v>
      </c>
    </row>
    <row r="14" spans="2:14" x14ac:dyDescent="0.35">
      <c r="B14" t="s">
        <v>97</v>
      </c>
      <c r="C14">
        <v>-61</v>
      </c>
      <c r="D14">
        <v>-53</v>
      </c>
      <c r="E14">
        <v>-30</v>
      </c>
      <c r="F14">
        <v>-42</v>
      </c>
      <c r="G14">
        <v>-52</v>
      </c>
      <c r="H14">
        <v>-34</v>
      </c>
      <c r="I14">
        <v>-39</v>
      </c>
      <c r="J14">
        <v>-61</v>
      </c>
      <c r="K14">
        <v>-91</v>
      </c>
      <c r="L14">
        <v>-67</v>
      </c>
      <c r="M14">
        <v>-121</v>
      </c>
      <c r="N14">
        <v>-119</v>
      </c>
    </row>
    <row r="15" spans="2:14" x14ac:dyDescent="0.35">
      <c r="B15" t="s">
        <v>98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3</v>
      </c>
      <c r="M15">
        <v>6</v>
      </c>
      <c r="N15">
        <v>1</v>
      </c>
    </row>
    <row r="16" spans="2:14" x14ac:dyDescent="0.35">
      <c r="B16" t="s">
        <v>99</v>
      </c>
      <c r="C16">
        <v>-356</v>
      </c>
      <c r="D16">
        <v>-859</v>
      </c>
      <c r="E16">
        <v>-803</v>
      </c>
      <c r="F16">
        <v>-844</v>
      </c>
      <c r="G16" s="25">
        <v>-1363</v>
      </c>
      <c r="H16" s="25">
        <v>-1196</v>
      </c>
      <c r="I16">
        <v>-919</v>
      </c>
      <c r="J16" s="25">
        <v>-1158</v>
      </c>
      <c r="K16" s="25">
        <v>-1612</v>
      </c>
      <c r="L16" s="25">
        <v>-1662</v>
      </c>
      <c r="M16" s="25">
        <v>-2043</v>
      </c>
      <c r="N16" s="25">
        <v>-2187</v>
      </c>
    </row>
    <row r="17" spans="2:14" x14ac:dyDescent="0.35">
      <c r="B17" t="s">
        <v>100</v>
      </c>
      <c r="C17">
        <v>316</v>
      </c>
      <c r="D17">
        <v>796</v>
      </c>
      <c r="E17">
        <v>773</v>
      </c>
      <c r="F17">
        <v>930</v>
      </c>
      <c r="G17" s="25">
        <v>1242</v>
      </c>
      <c r="H17" s="25">
        <v>1059</v>
      </c>
      <c r="I17" s="25">
        <v>1143</v>
      </c>
      <c r="J17" s="25">
        <v>1197</v>
      </c>
      <c r="K17" s="25">
        <v>1548</v>
      </c>
      <c r="L17" s="25">
        <v>1546</v>
      </c>
      <c r="M17" s="25">
        <v>2155</v>
      </c>
      <c r="N17" s="25">
        <v>2198</v>
      </c>
    </row>
    <row r="18" spans="2:14" x14ac:dyDescent="0.35">
      <c r="B18" t="s">
        <v>101</v>
      </c>
      <c r="C18">
        <v>14</v>
      </c>
      <c r="D18">
        <v>7</v>
      </c>
      <c r="E18">
        <v>7</v>
      </c>
      <c r="F18">
        <v>14</v>
      </c>
      <c r="G18">
        <v>19</v>
      </c>
      <c r="H18">
        <v>21</v>
      </c>
      <c r="I18">
        <v>13</v>
      </c>
      <c r="J18">
        <v>4</v>
      </c>
      <c r="K18">
        <v>6</v>
      </c>
      <c r="L18">
        <v>21</v>
      </c>
      <c r="M18">
        <v>25</v>
      </c>
      <c r="N18">
        <v>30</v>
      </c>
    </row>
    <row r="19" spans="2:14" x14ac:dyDescent="0.35">
      <c r="B19" t="s">
        <v>102</v>
      </c>
      <c r="C19">
        <v>6</v>
      </c>
      <c r="D19">
        <v>5</v>
      </c>
      <c r="E19">
        <v>13</v>
      </c>
      <c r="F19">
        <v>15</v>
      </c>
      <c r="G19">
        <v>10</v>
      </c>
      <c r="H19">
        <v>7</v>
      </c>
      <c r="I19">
        <v>0</v>
      </c>
      <c r="J19">
        <v>0</v>
      </c>
      <c r="K19">
        <v>0</v>
      </c>
      <c r="L19">
        <v>0</v>
      </c>
      <c r="M19">
        <v>2</v>
      </c>
      <c r="N19">
        <v>3</v>
      </c>
    </row>
    <row r="20" spans="2:14" x14ac:dyDescent="0.35">
      <c r="B20" t="s">
        <v>103</v>
      </c>
      <c r="C20">
        <v>0</v>
      </c>
      <c r="D20">
        <v>-107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5">
      <c r="B21" t="s">
        <v>104</v>
      </c>
      <c r="C21">
        <v>19</v>
      </c>
      <c r="D21">
        <v>44</v>
      </c>
      <c r="E21">
        <v>-136</v>
      </c>
      <c r="F21">
        <v>-47</v>
      </c>
      <c r="G21">
        <v>-85</v>
      </c>
      <c r="H21">
        <v>167</v>
      </c>
      <c r="I21">
        <v>-200</v>
      </c>
      <c r="J21">
        <v>61</v>
      </c>
      <c r="K21">
        <v>93</v>
      </c>
      <c r="L21">
        <v>-324</v>
      </c>
      <c r="M21">
        <v>118</v>
      </c>
      <c r="N21">
        <v>-67</v>
      </c>
    </row>
    <row r="22" spans="2:14" x14ac:dyDescent="0.35">
      <c r="B22" t="s">
        <v>118</v>
      </c>
      <c r="C22">
        <v>-115</v>
      </c>
      <c r="D22">
        <v>-165</v>
      </c>
      <c r="E22">
        <v>-245</v>
      </c>
      <c r="F22">
        <v>-304</v>
      </c>
      <c r="G22">
        <v>-54</v>
      </c>
      <c r="H22">
        <v>-308</v>
      </c>
      <c r="I22">
        <v>-188</v>
      </c>
      <c r="J22">
        <v>-416</v>
      </c>
      <c r="K22">
        <v>-440</v>
      </c>
      <c r="L22">
        <v>-107</v>
      </c>
      <c r="M22">
        <v>-610</v>
      </c>
      <c r="N22">
        <v>-622</v>
      </c>
    </row>
    <row r="23" spans="2:14" x14ac:dyDescent="0.35">
      <c r="B23" t="s">
        <v>105</v>
      </c>
      <c r="C23">
        <v>8</v>
      </c>
      <c r="D23">
        <v>14</v>
      </c>
      <c r="E23">
        <v>8</v>
      </c>
      <c r="F23">
        <v>9</v>
      </c>
      <c r="G23">
        <v>5</v>
      </c>
      <c r="H23">
        <v>1</v>
      </c>
      <c r="I23">
        <v>0</v>
      </c>
      <c r="J23">
        <v>0</v>
      </c>
      <c r="K23">
        <v>0</v>
      </c>
      <c r="L23">
        <v>0</v>
      </c>
      <c r="M23">
        <v>30</v>
      </c>
      <c r="N23">
        <v>32</v>
      </c>
    </row>
    <row r="24" spans="2:14" x14ac:dyDescent="0.35">
      <c r="B24" t="s">
        <v>106</v>
      </c>
      <c r="C24">
        <v>0</v>
      </c>
      <c r="D24">
        <v>0</v>
      </c>
      <c r="E24">
        <v>0</v>
      </c>
      <c r="F24">
        <v>5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</row>
    <row r="25" spans="2:14" x14ac:dyDescent="0.35">
      <c r="B25" t="s">
        <v>107</v>
      </c>
      <c r="C25">
        <v>0</v>
      </c>
      <c r="D25">
        <v>0</v>
      </c>
      <c r="E25">
        <v>-2</v>
      </c>
      <c r="F25">
        <v>0</v>
      </c>
      <c r="G25">
        <v>-5</v>
      </c>
      <c r="H25">
        <v>-1</v>
      </c>
      <c r="I25">
        <v>-1</v>
      </c>
      <c r="J25">
        <v>0</v>
      </c>
      <c r="K25">
        <v>0</v>
      </c>
      <c r="L25">
        <v>-1</v>
      </c>
      <c r="M25">
        <v>0</v>
      </c>
      <c r="N25">
        <v>0</v>
      </c>
    </row>
    <row r="26" spans="2:14" x14ac:dyDescent="0.35">
      <c r="B26" t="s">
        <v>108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2:14" x14ac:dyDescent="0.35">
      <c r="B27" t="s">
        <v>109</v>
      </c>
      <c r="C27">
        <v>0</v>
      </c>
      <c r="D27">
        <v>0</v>
      </c>
      <c r="E27">
        <v>0</v>
      </c>
      <c r="F27">
        <v>0</v>
      </c>
      <c r="G27">
        <v>0</v>
      </c>
      <c r="H27">
        <v>-19</v>
      </c>
      <c r="I27">
        <v>-20</v>
      </c>
      <c r="J27">
        <v>-22</v>
      </c>
      <c r="K27">
        <v>-21</v>
      </c>
      <c r="L27">
        <v>-23</v>
      </c>
      <c r="M27">
        <v>-35</v>
      </c>
      <c r="N27">
        <v>-43</v>
      </c>
    </row>
    <row r="28" spans="2:14" x14ac:dyDescent="0.35">
      <c r="B28" t="s">
        <v>110</v>
      </c>
      <c r="C28">
        <v>-106</v>
      </c>
      <c r="D28">
        <v>-107</v>
      </c>
      <c r="E28">
        <v>-4</v>
      </c>
      <c r="F28">
        <v>-4</v>
      </c>
      <c r="G28">
        <v>-4</v>
      </c>
      <c r="H28">
        <v>-4</v>
      </c>
      <c r="I28">
        <v>-3</v>
      </c>
      <c r="J28">
        <v>-3</v>
      </c>
      <c r="K28">
        <v>-3</v>
      </c>
      <c r="L28">
        <v>-5</v>
      </c>
      <c r="M28">
        <v>-5</v>
      </c>
      <c r="N28">
        <v>-5</v>
      </c>
    </row>
    <row r="29" spans="2:14" x14ac:dyDescent="0.35">
      <c r="B29" t="s">
        <v>111</v>
      </c>
      <c r="C29">
        <v>0</v>
      </c>
      <c r="D29">
        <v>0</v>
      </c>
      <c r="E29">
        <v>0</v>
      </c>
      <c r="F29">
        <v>0</v>
      </c>
      <c r="G29">
        <v>0</v>
      </c>
      <c r="H29">
        <v>-26</v>
      </c>
      <c r="I29">
        <v>-29</v>
      </c>
      <c r="J29">
        <v>-36</v>
      </c>
      <c r="K29">
        <v>-39</v>
      </c>
      <c r="L29">
        <v>-46</v>
      </c>
      <c r="M29">
        <v>-36</v>
      </c>
      <c r="N29">
        <v>-54</v>
      </c>
    </row>
    <row r="30" spans="2:14" x14ac:dyDescent="0.35">
      <c r="B30" t="s">
        <v>112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28</v>
      </c>
      <c r="K30">
        <v>22</v>
      </c>
      <c r="L30">
        <v>15</v>
      </c>
      <c r="M30">
        <v>0</v>
      </c>
      <c r="N30">
        <v>0</v>
      </c>
    </row>
    <row r="31" spans="2:14" x14ac:dyDescent="0.35">
      <c r="B31" t="s">
        <v>113</v>
      </c>
      <c r="C31">
        <v>-18</v>
      </c>
      <c r="D31">
        <v>-73</v>
      </c>
      <c r="E31">
        <v>-247</v>
      </c>
      <c r="F31">
        <v>-313</v>
      </c>
      <c r="G31">
        <v>-51</v>
      </c>
      <c r="H31">
        <v>-260</v>
      </c>
      <c r="I31">
        <v>-135</v>
      </c>
      <c r="J31">
        <v>-383</v>
      </c>
      <c r="K31">
        <v>-399</v>
      </c>
      <c r="L31">
        <v>-46</v>
      </c>
      <c r="M31">
        <v>-564</v>
      </c>
      <c r="N31">
        <v>-552</v>
      </c>
    </row>
    <row r="32" spans="2:14" x14ac:dyDescent="0.35">
      <c r="B32" t="s">
        <v>20</v>
      </c>
      <c r="C32">
        <v>66</v>
      </c>
      <c r="D32">
        <v>86</v>
      </c>
      <c r="E32">
        <v>-108</v>
      </c>
      <c r="F32">
        <v>28</v>
      </c>
      <c r="G32">
        <v>-77</v>
      </c>
      <c r="H32">
        <v>49</v>
      </c>
      <c r="I32">
        <v>174</v>
      </c>
      <c r="J32">
        <v>71</v>
      </c>
      <c r="K32">
        <v>-2</v>
      </c>
      <c r="L32">
        <v>-64</v>
      </c>
      <c r="M32">
        <v>188</v>
      </c>
      <c r="N32">
        <v>111</v>
      </c>
    </row>
    <row r="33" spans="2:14" x14ac:dyDescent="0.35">
      <c r="B33" t="s">
        <v>114</v>
      </c>
      <c r="C33">
        <v>182</v>
      </c>
      <c r="D33">
        <v>366</v>
      </c>
      <c r="E33">
        <v>283</v>
      </c>
      <c r="F33">
        <v>264</v>
      </c>
      <c r="G33">
        <v>154</v>
      </c>
      <c r="H33">
        <v>299</v>
      </c>
      <c r="I33">
        <v>326</v>
      </c>
      <c r="J33">
        <v>383</v>
      </c>
      <c r="K33">
        <v>403</v>
      </c>
      <c r="L33">
        <v>462</v>
      </c>
      <c r="M33">
        <v>539</v>
      </c>
      <c r="N33">
        <v>756</v>
      </c>
    </row>
    <row r="34" spans="2:14" x14ac:dyDescent="0.35">
      <c r="B34" t="s">
        <v>115</v>
      </c>
      <c r="C34" s="26">
        <v>0.98</v>
      </c>
      <c r="D34" s="26">
        <v>0.87</v>
      </c>
      <c r="E34" s="26">
        <v>0.68</v>
      </c>
      <c r="F34" s="26">
        <v>0.83</v>
      </c>
      <c r="G34" s="26">
        <v>0.67</v>
      </c>
      <c r="H34" s="26">
        <v>1.02</v>
      </c>
      <c r="I34" s="26">
        <v>0.81</v>
      </c>
      <c r="J34" s="26">
        <v>0.92</v>
      </c>
      <c r="K34" s="26">
        <v>0.93</v>
      </c>
      <c r="L34" s="26">
        <v>0.9</v>
      </c>
      <c r="M34" s="26">
        <v>1.01</v>
      </c>
      <c r="N34" s="26">
        <v>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HistoricalFS</vt:lpstr>
      <vt:lpstr>Data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Dhibi Kunnel</dc:creator>
  <cp:lastModifiedBy>dhibikunnel@gmail.com</cp:lastModifiedBy>
  <cp:lastPrinted>2026-07-18T18:55:47Z</cp:lastPrinted>
  <dcterms:created xsi:type="dcterms:W3CDTF">2012-08-17T09:55:37Z</dcterms:created>
  <dcterms:modified xsi:type="dcterms:W3CDTF">2026-07-27T18:46:25Z</dcterms:modified>
</cp:coreProperties>
</file>