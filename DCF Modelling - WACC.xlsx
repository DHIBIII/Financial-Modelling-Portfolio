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770743d2bf1be/Documents/"/>
    </mc:Choice>
  </mc:AlternateContent>
  <xr:revisionPtr revIDLastSave="457" documentId="8_{39CA47F5-F1B3-44F2-9D59-1F7737E28A99}" xr6:coauthVersionLast="47" xr6:coauthVersionMax="47" xr10:uidLastSave="{7D85B30B-527D-45ED-AF90-7DEDA97E6DB5}"/>
  <bookViews>
    <workbookView xWindow="-110" yWindow="-110" windowWidth="19420" windowHeight="10420" xr2:uid="{604B4520-9B4F-4290-B00C-F9B5C6918EE9}"/>
  </bookViews>
  <sheets>
    <sheet name="WACC" sheetId="1" r:id="rId1"/>
    <sheet name="Beta" sheetId="4" r:id="rId2"/>
    <sheet name="Data&gt;" sheetId="5" r:id="rId3"/>
    <sheet name="DCF&gt;" sheetId="2" r:id="rId4"/>
  </sheets>
  <definedNames>
    <definedName name="_xlnm._FilterDatabase" localSheetId="2" hidden="1">'Data&gt;'!$B$6:$D$111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5" l="1"/>
  <c r="J13" i="5" s="1"/>
  <c r="G111" i="5" l="1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K37" i="1"/>
  <c r="K31" i="1"/>
  <c r="C32" i="1"/>
  <c r="D31" i="1" s="1"/>
  <c r="E23" i="1"/>
  <c r="J37" i="1" s="1"/>
  <c r="J16" i="1"/>
  <c r="J15" i="1"/>
  <c r="G16" i="1"/>
  <c r="G15" i="1"/>
  <c r="I10" i="1"/>
  <c r="I11" i="1"/>
  <c r="I12" i="1"/>
  <c r="I13" i="1"/>
  <c r="I9" i="1"/>
  <c r="I16" i="1" s="1"/>
  <c r="H10" i="1"/>
  <c r="K10" i="1" s="1"/>
  <c r="H11" i="1"/>
  <c r="K11" i="1" s="1"/>
  <c r="H12" i="1"/>
  <c r="K12" i="1" s="1"/>
  <c r="H13" i="1"/>
  <c r="K13" i="1" s="1"/>
  <c r="H9" i="1"/>
  <c r="H16" i="1" s="1"/>
  <c r="D32" i="1" l="1"/>
  <c r="E32" i="1" s="1"/>
  <c r="E31" i="1" s="1"/>
  <c r="D30" i="1"/>
  <c r="D34" i="1" s="1"/>
  <c r="K9" i="1"/>
  <c r="I15" i="1"/>
  <c r="H15" i="1"/>
  <c r="K38" i="1" l="1"/>
  <c r="E34" i="1"/>
  <c r="K30" i="1" s="1"/>
  <c r="K16" i="1"/>
  <c r="K29" i="1" s="1"/>
  <c r="K32" i="1" s="1"/>
  <c r="K23" i="1" s="1"/>
  <c r="K24" i="1" s="1"/>
  <c r="J38" i="1" s="1"/>
  <c r="K39" i="1" s="1"/>
  <c r="K15" i="1"/>
</calcChain>
</file>

<file path=xl/sharedStrings.xml><?xml version="1.0" encoding="utf-8"?>
<sst xmlns="http://schemas.openxmlformats.org/spreadsheetml/2006/main" count="110" uniqueCount="89">
  <si>
    <t xml:space="preserve">Weighted Average Cost Of Capital </t>
  </si>
  <si>
    <t xml:space="preserve">All figures are INR unless stated otherwise </t>
  </si>
  <si>
    <t>Peer Comps</t>
  </si>
  <si>
    <t xml:space="preserve">Name of the Company </t>
  </si>
  <si>
    <t xml:space="preserve">Country </t>
  </si>
  <si>
    <t>Total Debt</t>
  </si>
  <si>
    <t xml:space="preserve">Total Equity </t>
  </si>
  <si>
    <t xml:space="preserve">Tax Rate </t>
  </si>
  <si>
    <r>
      <t xml:space="preserve">Tax Rate </t>
    </r>
    <r>
      <rPr>
        <vertAlign val="superscript"/>
        <sz val="11"/>
        <color theme="1"/>
        <rFont val="Aptos Narrow"/>
        <family val="2"/>
        <scheme val="minor"/>
      </rPr>
      <t>1</t>
    </r>
  </si>
  <si>
    <t>Debt/</t>
  </si>
  <si>
    <t xml:space="preserve">Equity 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</si>
  <si>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</si>
  <si>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</si>
  <si>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</si>
  <si>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</si>
  <si>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Aptos Narrow"/>
        <family val="2"/>
        <scheme val="minor"/>
      </rPr>
      <t>3</t>
    </r>
  </si>
  <si>
    <t>Hind. Unilever</t>
  </si>
  <si>
    <t>India</t>
  </si>
  <si>
    <t>Nestle India</t>
  </si>
  <si>
    <t>Britannia Inds.</t>
  </si>
  <si>
    <t>Godrej Consumer</t>
  </si>
  <si>
    <t>Dabur India</t>
  </si>
  <si>
    <t xml:space="preserve">Average </t>
  </si>
  <si>
    <t>Median</t>
  </si>
  <si>
    <t xml:space="preserve">Cost of Debt </t>
  </si>
  <si>
    <t xml:space="preserve">Pre tax cost of debt </t>
  </si>
  <si>
    <t xml:space="preserve">Tax rate </t>
  </si>
  <si>
    <t xml:space="preserve">Post Tax cost of debt </t>
  </si>
  <si>
    <t xml:space="preserve">Cost of Equity </t>
  </si>
  <si>
    <t xml:space="preserve">Equity Risk Premium </t>
  </si>
  <si>
    <t xml:space="preserve">Risk free rate </t>
  </si>
  <si>
    <r>
      <t xml:space="preserve">Levered Beta </t>
    </r>
    <r>
      <rPr>
        <vertAlign val="superscript"/>
        <sz val="11"/>
        <color theme="1"/>
        <rFont val="Aptos Narrow"/>
        <family val="2"/>
        <scheme val="minor"/>
      </rPr>
      <t>4</t>
    </r>
  </si>
  <si>
    <t xml:space="preserve">Capital Structure </t>
  </si>
  <si>
    <t xml:space="preserve">Current </t>
  </si>
  <si>
    <t xml:space="preserve">Target </t>
  </si>
  <si>
    <t xml:space="preserve">Total Debt </t>
  </si>
  <si>
    <t xml:space="preserve">Market Capitalization </t>
  </si>
  <si>
    <t>Total Capital</t>
  </si>
  <si>
    <t xml:space="preserve">Levered Beta </t>
  </si>
  <si>
    <t xml:space="preserve">Comps Median Unlevered Beta </t>
  </si>
  <si>
    <t xml:space="preserve">Target Debt / Equity </t>
  </si>
  <si>
    <t xml:space="preserve">Debt / Equity </t>
  </si>
  <si>
    <t>Weighted Average Cost of Capital</t>
  </si>
  <si>
    <t xml:space="preserve">Debt </t>
  </si>
  <si>
    <t xml:space="preserve">Total Cost </t>
  </si>
  <si>
    <t xml:space="preserve">Total Weight </t>
  </si>
  <si>
    <t xml:space="preserve">Weighted Average Cost of Capital </t>
  </si>
  <si>
    <t xml:space="preserve">Notes </t>
  </si>
  <si>
    <t xml:space="preserve">1. Tax rate considered as mariginal tax rate of country </t>
  </si>
  <si>
    <t xml:space="preserve">2. Levered Beta is based on 5 year montly data </t>
  </si>
  <si>
    <t>3.Unlevered Beta = Levered Beta / (1+(Debt /Equity *(1- Tax rate )</t>
  </si>
  <si>
    <t>4.Levered Beta = Unlevered Beta  * (1+(Debt /Equity *(1- Tax rate )</t>
  </si>
  <si>
    <t>Date</t>
  </si>
  <si>
    <t>Adj Closing Price</t>
  </si>
  <si>
    <t>Hindustan Unilever Weekly Returns</t>
  </si>
  <si>
    <t xml:space="preserve"> Return </t>
  </si>
  <si>
    <t>Nifty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</si>
  <si>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</si>
  <si>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</si>
  <si>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</si>
  <si>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</si>
  <si>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</si>
  <si>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</si>
  <si>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</si>
  <si>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</si>
  <si>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</si>
  <si>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</si>
  <si>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</si>
  <si>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</si>
  <si>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</si>
  <si>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</si>
  <si>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</si>
  <si>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</si>
  <si>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</si>
  <si>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</si>
  <si>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</si>
  <si>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</si>
  <si>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</si>
  <si>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</si>
  <si>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</si>
  <si>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</si>
  <si>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</si>
  <si>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Beta Drifting </t>
  </si>
  <si>
    <t>Levered Raw Beta</t>
  </si>
  <si>
    <t xml:space="preserve">Beta Weight </t>
  </si>
  <si>
    <t>Market Beta</t>
  </si>
  <si>
    <t xml:space="preserve">Market Beta Weight </t>
  </si>
  <si>
    <t>Adjusted Beta</t>
  </si>
  <si>
    <t xml:space="preserve">Regression Beta - 2 Years Weekly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</si>
</sst>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;[Red]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3333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6" fillId="0" borderId="0" xfId="0" applyFont="1"/>
    <xf numFmtId="10" fontId="0" fillId="0" borderId="0" xfId="1" applyNumberFormat="1" applyFont="1"/>
    <xf numFmtId="2" fontId="6" fillId="0" borderId="0" xfId="0" applyNumberFormat="1" applyFont="1"/>
    <xf numFmtId="2" fontId="0" fillId="0" borderId="0" xfId="0" applyNumberFormat="1"/>
    <xf numFmtId="10" fontId="6" fillId="0" borderId="0" xfId="1" applyNumberFormat="1" applyFont="1"/>
    <xf numFmtId="10" fontId="0" fillId="0" borderId="1" xfId="1" applyNumberFormat="1" applyFont="1" applyBorder="1"/>
    <xf numFmtId="10" fontId="0" fillId="0" borderId="2" xfId="1" applyNumberFormat="1" applyFon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3" xfId="0" applyBorder="1"/>
    <xf numFmtId="10" fontId="0" fillId="0" borderId="3" xfId="1" applyNumberFormat="1" applyFont="1" applyBorder="1"/>
    <xf numFmtId="0" fontId="3" fillId="0" borderId="2" xfId="0" applyFont="1" applyBorder="1"/>
    <xf numFmtId="0" fontId="3" fillId="0" borderId="0" xfId="0" applyFont="1"/>
    <xf numFmtId="0" fontId="3" fillId="0" borderId="2" xfId="0" applyFont="1" applyBorder="1" applyAlignment="1">
      <alignment horizontal="right"/>
    </xf>
    <xf numFmtId="10" fontId="0" fillId="3" borderId="3" xfId="1" applyNumberFormat="1" applyFont="1" applyFill="1" applyBorder="1"/>
    <xf numFmtId="10" fontId="0" fillId="3" borderId="0" xfId="1" applyNumberFormat="1" applyFont="1" applyFill="1"/>
    <xf numFmtId="2" fontId="0" fillId="3" borderId="0" xfId="0" applyNumberFormat="1" applyFill="1"/>
    <xf numFmtId="10" fontId="6" fillId="0" borderId="0" xfId="0" applyNumberFormat="1" applyFont="1"/>
    <xf numFmtId="10" fontId="0" fillId="0" borderId="3" xfId="0" applyNumberFormat="1" applyBorder="1"/>
    <xf numFmtId="10" fontId="0" fillId="3" borderId="0" xfId="0" applyNumberFormat="1" applyFill="1"/>
    <xf numFmtId="2" fontId="0" fillId="3" borderId="1" xfId="0" applyNumberFormat="1" applyFill="1" applyBorder="1"/>
    <xf numFmtId="10" fontId="0" fillId="3" borderId="1" xfId="0" applyNumberFormat="1" applyFill="1" applyBorder="1"/>
    <xf numFmtId="164" fontId="6" fillId="0" borderId="0" xfId="0" applyNumberFormat="1" applyFont="1"/>
    <xf numFmtId="164" fontId="0" fillId="0" borderId="3" xfId="0" applyNumberFormat="1" applyBorder="1"/>
    <xf numFmtId="0" fontId="7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4" fontId="1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right"/>
    </xf>
    <xf numFmtId="0" fontId="3" fillId="4" borderId="0" xfId="0" applyFont="1" applyFill="1"/>
    <xf numFmtId="0" fontId="2" fillId="4" borderId="0" xfId="0" applyFont="1" applyFill="1"/>
    <xf numFmtId="0" fontId="10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right" vertical="top"/>
    </xf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4" xfId="0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Continuous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0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right"/>
    </xf>
    <xf numFmtId="10" fontId="0" fillId="2" borderId="0" xfId="1" applyNumberFormat="1" applyFont="1" applyFill="1"/>
    <xf numFmtId="2" fontId="0" fillId="2" borderId="0" xfId="1" applyNumberFormat="1" applyFont="1" applyFill="1"/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C81B-5CA6-48BD-8A83-3C4F9901C874}">
  <dimension ref="B2:O45"/>
  <sheetViews>
    <sheetView showGridLines="0" tabSelected="1" topLeftCell="A2" zoomScale="99" zoomScaleNormal="99" workbookViewId="0">
      <selection activeCell="D6" sqref="D6"/>
    </sheetView>
  </sheetViews>
  <sheetFormatPr defaultRowHeight="14.5" x14ac:dyDescent="0.35"/>
  <cols>
    <col min="1" max="1" width="1.81640625" customWidth="1"/>
    <col min="2" max="2" width="29.7265625" customWidth="1"/>
    <col min="3" max="3" width="10.6328125" customWidth="1"/>
    <col min="4" max="4" width="12.1796875" customWidth="1"/>
    <col min="5" max="5" width="12.6328125" customWidth="1"/>
    <col min="6" max="6" width="10.6328125" customWidth="1"/>
    <col min="10" max="10" width="10.6328125" customWidth="1"/>
    <col min="11" max="11" width="12.90625" customWidth="1"/>
    <col min="12" max="12" width="13.6328125" customWidth="1"/>
    <col min="13" max="13" width="14.7265625" customWidth="1"/>
  </cols>
  <sheetData>
    <row r="2" spans="2:15" x14ac:dyDescent="0.35">
      <c r="B2" s="35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7"/>
      <c r="N2" s="17"/>
      <c r="O2" s="17"/>
    </row>
    <row r="4" spans="2:15" s="1" customFormat="1" x14ac:dyDescent="0.35">
      <c r="B4" s="1" t="s">
        <v>1</v>
      </c>
    </row>
    <row r="6" spans="2:15" x14ac:dyDescent="0.35">
      <c r="B6" s="17" t="s">
        <v>2</v>
      </c>
    </row>
    <row r="7" spans="2:15" x14ac:dyDescent="0.35">
      <c r="B7" s="2"/>
      <c r="C7" s="2"/>
      <c r="D7" s="2"/>
      <c r="E7" s="2"/>
      <c r="F7" s="2"/>
      <c r="G7" s="2"/>
      <c r="H7" s="2" t="s">
        <v>9</v>
      </c>
      <c r="I7" s="2" t="s">
        <v>9</v>
      </c>
      <c r="J7" s="2" t="s">
        <v>12</v>
      </c>
      <c r="K7" s="2" t="s">
        <v>13</v>
      </c>
    </row>
    <row r="8" spans="2:15" ht="16.5" x14ac:dyDescent="0.35">
      <c r="B8" s="3" t="s">
        <v>3</v>
      </c>
      <c r="C8" s="3"/>
      <c r="D8" s="3" t="s">
        <v>4</v>
      </c>
      <c r="E8" s="3" t="s">
        <v>5</v>
      </c>
      <c r="F8" s="3" t="s">
        <v>6</v>
      </c>
      <c r="G8" s="3" t="s">
        <v>8</v>
      </c>
      <c r="H8" s="3" t="s">
        <v>10</v>
      </c>
      <c r="I8" s="3" t="s">
        <v>11</v>
      </c>
      <c r="J8" s="3" t="s">
        <v>14</v>
      </c>
      <c r="K8" s="3" t="s">
        <v>15</v>
      </c>
    </row>
    <row r="9" spans="2:15" x14ac:dyDescent="0.35">
      <c r="B9" s="5" t="s">
        <v>16</v>
      </c>
      <c r="C9" s="5"/>
      <c r="D9" s="5" t="s">
        <v>17</v>
      </c>
      <c r="E9" s="27">
        <v>1139</v>
      </c>
      <c r="F9" s="27">
        <v>611503.9</v>
      </c>
      <c r="G9" s="9">
        <v>0.3</v>
      </c>
      <c r="H9" s="20">
        <f>IFERROR(E9/F9,0)</f>
        <v>1.8626209906429051E-3</v>
      </c>
      <c r="I9" s="20">
        <f>IFERROR(E9/SUM(E9:F9),0)</f>
        <v>1.8591580837711494E-3</v>
      </c>
      <c r="J9" s="7">
        <v>1</v>
      </c>
      <c r="K9" s="21">
        <f>IFERROR(J9/(1+H9*(1-G9)),0)</f>
        <v>0.99869786307784481</v>
      </c>
    </row>
    <row r="10" spans="2:15" x14ac:dyDescent="0.35">
      <c r="B10" s="5" t="s">
        <v>18</v>
      </c>
      <c r="C10" s="5"/>
      <c r="D10" s="5" t="s">
        <v>17</v>
      </c>
      <c r="E10" s="27">
        <v>279.89999999999998</v>
      </c>
      <c r="F10" s="27">
        <v>182975</v>
      </c>
      <c r="G10" s="9">
        <v>0.3</v>
      </c>
      <c r="H10" s="20">
        <f t="shared" ref="H10:H13" si="0">IFERROR(E10/F10,0)</f>
        <v>1.5297171744773875E-3</v>
      </c>
      <c r="I10" s="20">
        <f t="shared" ref="I10:I13" si="1">IFERROR(E10/SUM(E10:F10),0)</f>
        <v>1.5273807139672662E-3</v>
      </c>
      <c r="J10" s="7">
        <v>1</v>
      </c>
      <c r="K10" s="21">
        <f t="shared" ref="K10:K13" si="2">IFERROR(J10/(1+H10*(1-G10)),0)</f>
        <v>0.99893034336834996</v>
      </c>
    </row>
    <row r="11" spans="2:15" x14ac:dyDescent="0.35">
      <c r="B11" s="5" t="s">
        <v>19</v>
      </c>
      <c r="C11" s="5"/>
      <c r="D11" s="5" t="s">
        <v>17</v>
      </c>
      <c r="E11" s="27">
        <v>3037.7</v>
      </c>
      <c r="F11" s="27">
        <v>110690</v>
      </c>
      <c r="G11" s="9">
        <v>0.3</v>
      </c>
      <c r="H11" s="20">
        <f t="shared" si="0"/>
        <v>2.7443310145451257E-2</v>
      </c>
      <c r="I11" s="20">
        <f t="shared" si="1"/>
        <v>2.6710291336235585E-2</v>
      </c>
      <c r="J11" s="7">
        <v>1</v>
      </c>
      <c r="K11" s="21">
        <f t="shared" si="2"/>
        <v>0.98115176349819389</v>
      </c>
    </row>
    <row r="12" spans="2:15" x14ac:dyDescent="0.35">
      <c r="B12" s="5" t="s">
        <v>20</v>
      </c>
      <c r="C12" s="5"/>
      <c r="D12" s="5" t="s">
        <v>17</v>
      </c>
      <c r="E12" s="27">
        <v>1164.5</v>
      </c>
      <c r="F12" s="27">
        <v>96256.4</v>
      </c>
      <c r="G12" s="9">
        <v>0.3</v>
      </c>
      <c r="H12" s="20">
        <f t="shared" si="0"/>
        <v>1.2097896867117408E-2</v>
      </c>
      <c r="I12" s="20">
        <f t="shared" si="1"/>
        <v>1.1953287230974052E-2</v>
      </c>
      <c r="J12" s="7">
        <v>1</v>
      </c>
      <c r="K12" s="21">
        <f t="shared" si="2"/>
        <v>0.99160258592759665</v>
      </c>
    </row>
    <row r="13" spans="2:15" x14ac:dyDescent="0.35">
      <c r="B13" s="5" t="s">
        <v>21</v>
      </c>
      <c r="C13" s="5"/>
      <c r="D13" s="5" t="s">
        <v>17</v>
      </c>
      <c r="E13" s="27">
        <v>1068.0999999999999</v>
      </c>
      <c r="F13" s="27">
        <v>94940.4</v>
      </c>
      <c r="G13" s="9">
        <v>0.3</v>
      </c>
      <c r="H13" s="20">
        <f t="shared" si="0"/>
        <v>1.1250215924938172E-2</v>
      </c>
      <c r="I13" s="20">
        <f t="shared" si="1"/>
        <v>1.1125056635610388E-2</v>
      </c>
      <c r="J13" s="7">
        <v>1</v>
      </c>
      <c r="K13" s="21">
        <f t="shared" si="2"/>
        <v>0.9921863822731507</v>
      </c>
    </row>
    <row r="15" spans="2:15" x14ac:dyDescent="0.35">
      <c r="F15" s="2" t="s">
        <v>22</v>
      </c>
      <c r="G15" s="10">
        <f>IFERROR(AVERAGE(G9:G13),0)</f>
        <v>0.3</v>
      </c>
      <c r="H15" s="10">
        <f t="shared" ref="H15:K15" si="3">IFERROR(AVERAGE(H9:H13),0)</f>
        <v>1.0836752220525426E-2</v>
      </c>
      <c r="I15" s="10">
        <f t="shared" si="3"/>
        <v>1.063503480011169E-2</v>
      </c>
      <c r="J15" s="12">
        <f t="shared" si="3"/>
        <v>1</v>
      </c>
      <c r="K15" s="12">
        <f t="shared" si="3"/>
        <v>0.9925137876290272</v>
      </c>
    </row>
    <row r="16" spans="2:15" x14ac:dyDescent="0.35">
      <c r="F16" s="3" t="s">
        <v>23</v>
      </c>
      <c r="G16" s="11">
        <f>IFERROR(MEDIAN(G9:G13),0)</f>
        <v>0.3</v>
      </c>
      <c r="H16" s="11">
        <f t="shared" ref="H16:K16" si="4">IFERROR(MEDIAN(H9:H13),0)</f>
        <v>1.1250215924938172E-2</v>
      </c>
      <c r="I16" s="11">
        <f t="shared" si="4"/>
        <v>1.1125056635610388E-2</v>
      </c>
      <c r="J16" s="13">
        <f t="shared" si="4"/>
        <v>1</v>
      </c>
      <c r="K16" s="13">
        <f t="shared" si="4"/>
        <v>0.9921863822731507</v>
      </c>
    </row>
    <row r="19" spans="2:11" x14ac:dyDescent="0.35">
      <c r="B19" s="16" t="s">
        <v>24</v>
      </c>
      <c r="C19" s="16"/>
      <c r="D19" s="3"/>
      <c r="E19" s="3"/>
      <c r="G19" s="16" t="s">
        <v>28</v>
      </c>
      <c r="H19" s="3"/>
      <c r="I19" s="3"/>
      <c r="J19" s="3"/>
      <c r="K19" s="3"/>
    </row>
    <row r="21" spans="2:11" x14ac:dyDescent="0.35">
      <c r="B21" t="s">
        <v>25</v>
      </c>
      <c r="E21" s="9">
        <v>8.4000000000000005E-2</v>
      </c>
      <c r="G21" t="s">
        <v>30</v>
      </c>
      <c r="K21" s="22">
        <v>6.5000000000000002E-2</v>
      </c>
    </row>
    <row r="22" spans="2:11" x14ac:dyDescent="0.35">
      <c r="B22" t="s">
        <v>26</v>
      </c>
      <c r="E22" s="9">
        <v>0.3</v>
      </c>
      <c r="G22" t="s">
        <v>29</v>
      </c>
      <c r="K22" s="22">
        <v>0.08</v>
      </c>
    </row>
    <row r="23" spans="2:11" ht="16.5" x14ac:dyDescent="0.35">
      <c r="B23" s="14" t="s">
        <v>27</v>
      </c>
      <c r="C23" s="14"/>
      <c r="D23" s="14"/>
      <c r="E23" s="19">
        <f>IFERROR(E21*(1-E22),0)</f>
        <v>5.8799999999999998E-2</v>
      </c>
      <c r="G23" t="s">
        <v>31</v>
      </c>
      <c r="K23" s="8">
        <f>K32</f>
        <v>1.5055349887536069</v>
      </c>
    </row>
    <row r="24" spans="2:11" x14ac:dyDescent="0.35">
      <c r="G24" s="14" t="s">
        <v>28</v>
      </c>
      <c r="H24" s="14"/>
      <c r="I24" s="14"/>
      <c r="J24" s="14"/>
      <c r="K24" s="26">
        <f>K21+(K22*K23)</f>
        <v>0.18544279910028855</v>
      </c>
    </row>
    <row r="27" spans="2:11" x14ac:dyDescent="0.35">
      <c r="B27" s="16" t="s">
        <v>32</v>
      </c>
      <c r="C27" s="16"/>
      <c r="D27" s="3"/>
      <c r="E27" s="3"/>
      <c r="G27" s="16" t="s">
        <v>38</v>
      </c>
      <c r="H27" s="3"/>
      <c r="I27" s="3"/>
      <c r="J27" s="3"/>
      <c r="K27" s="3"/>
    </row>
    <row r="29" spans="2:11" x14ac:dyDescent="0.35">
      <c r="D29" s="18" t="s">
        <v>33</v>
      </c>
      <c r="E29" s="18" t="s">
        <v>34</v>
      </c>
      <c r="G29" t="s">
        <v>39</v>
      </c>
      <c r="K29" s="8">
        <f>K16</f>
        <v>0.9921863822731507</v>
      </c>
    </row>
    <row r="30" spans="2:11" x14ac:dyDescent="0.35">
      <c r="B30" t="s">
        <v>35</v>
      </c>
      <c r="C30" s="27">
        <v>17440</v>
      </c>
      <c r="D30" s="6">
        <f>IFERROR(C30/$C$32,0)</f>
        <v>0.35087013378935722</v>
      </c>
      <c r="E30" s="22">
        <v>0.42499999999999999</v>
      </c>
      <c r="G30" t="s">
        <v>40</v>
      </c>
      <c r="K30" s="4">
        <f>E34</f>
        <v>0.73913043478260876</v>
      </c>
    </row>
    <row r="31" spans="2:11" x14ac:dyDescent="0.35">
      <c r="B31" t="s">
        <v>36</v>
      </c>
      <c r="C31" s="27">
        <v>32265</v>
      </c>
      <c r="D31" s="6">
        <f>IFERROR(C31/$C$32,0)</f>
        <v>0.64912986621064284</v>
      </c>
      <c r="E31" s="4">
        <f>E32-E30</f>
        <v>0.57499999999999996</v>
      </c>
      <c r="G31" t="s">
        <v>7</v>
      </c>
      <c r="K31" s="4">
        <f>E22</f>
        <v>0.3</v>
      </c>
    </row>
    <row r="32" spans="2:11" x14ac:dyDescent="0.35">
      <c r="B32" s="14" t="s">
        <v>37</v>
      </c>
      <c r="C32" s="28">
        <f>IFERROR(SUM(C30:C31),0)</f>
        <v>49705</v>
      </c>
      <c r="D32" s="15">
        <f>IFERROR(C32/$C$32,0)</f>
        <v>1</v>
      </c>
      <c r="E32" s="23">
        <f>D32</f>
        <v>1</v>
      </c>
      <c r="G32" s="14" t="s">
        <v>38</v>
      </c>
      <c r="H32" s="14"/>
      <c r="I32" s="14"/>
      <c r="J32" s="14"/>
      <c r="K32" s="25">
        <f>K29*(1+(K30*(1-K31)))</f>
        <v>1.5055349887536069</v>
      </c>
    </row>
    <row r="34" spans="2:11" x14ac:dyDescent="0.35">
      <c r="B34" t="s">
        <v>41</v>
      </c>
      <c r="D34" s="24">
        <f>IFERROR(D30/D31,0)</f>
        <v>0.54052378738571205</v>
      </c>
      <c r="E34" s="24">
        <f>IFERROR(E30/E31,0)</f>
        <v>0.73913043478260876</v>
      </c>
      <c r="G34" s="16" t="s">
        <v>42</v>
      </c>
      <c r="H34" s="3"/>
      <c r="I34" s="3"/>
      <c r="J34" s="3"/>
      <c r="K34" s="3"/>
    </row>
    <row r="36" spans="2:11" x14ac:dyDescent="0.35">
      <c r="J36" s="18" t="s">
        <v>44</v>
      </c>
      <c r="K36" s="18" t="s">
        <v>45</v>
      </c>
    </row>
    <row r="37" spans="2:11" x14ac:dyDescent="0.35">
      <c r="G37" t="s">
        <v>43</v>
      </c>
      <c r="J37" s="4">
        <f>E23</f>
        <v>5.8799999999999998E-2</v>
      </c>
      <c r="K37" s="4">
        <f>E30</f>
        <v>0.42499999999999999</v>
      </c>
    </row>
    <row r="38" spans="2:11" x14ac:dyDescent="0.35">
      <c r="G38" t="s">
        <v>10</v>
      </c>
      <c r="J38" s="4">
        <f>K24</f>
        <v>0.18544279910028855</v>
      </c>
      <c r="K38" s="4">
        <f>E31</f>
        <v>0.57499999999999996</v>
      </c>
    </row>
    <row r="39" spans="2:11" x14ac:dyDescent="0.35">
      <c r="G39" s="2" t="s">
        <v>46</v>
      </c>
      <c r="H39" s="2"/>
      <c r="I39" s="2"/>
      <c r="J39" s="2"/>
      <c r="K39" s="26">
        <f>SUMPRODUCT(J37:J38,K37:K38)</f>
        <v>0.13161960948266591</v>
      </c>
    </row>
    <row r="41" spans="2:11" x14ac:dyDescent="0.35">
      <c r="B41" s="30" t="s">
        <v>47</v>
      </c>
      <c r="C41" s="31"/>
      <c r="D41" s="31"/>
    </row>
    <row r="42" spans="2:11" x14ac:dyDescent="0.35">
      <c r="B42" s="30" t="s">
        <v>48</v>
      </c>
      <c r="C42" s="30"/>
      <c r="D42" s="30"/>
      <c r="E42" s="29"/>
    </row>
    <row r="43" spans="2:11" x14ac:dyDescent="0.35">
      <c r="B43" s="30" t="s">
        <v>49</v>
      </c>
      <c r="C43" s="30"/>
      <c r="D43" s="30"/>
      <c r="E43" s="29"/>
    </row>
    <row r="44" spans="2:11" x14ac:dyDescent="0.35">
      <c r="B44" s="30" t="s">
        <v>50</v>
      </c>
      <c r="C44" s="30"/>
      <c r="D44" s="30"/>
      <c r="E44" s="29"/>
    </row>
    <row r="45" spans="2:11" x14ac:dyDescent="0.35">
      <c r="B45" s="30" t="s">
        <v>51</v>
      </c>
      <c r="C45" s="30"/>
      <c r="D45" s="30"/>
      <c r="E45" s="29"/>
    </row>
  </sheetData>
  <pageMargins left="0.7" right="0.7" top="0.75" bottom="0.75" header="0.3" footer="0.3"/>
  <ignoredErrors>
    <ignoredError sqref="I9:I11 I12:I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B129-32F3-45A9-AD70-681C9917A836}">
  <sheetPr>
    <tabColor rgb="FF00206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70CE-D240-4368-9FF9-33B03C94DFEC}">
  <sheetPr>
    <tabColor rgb="FF002060"/>
  </sheetPr>
  <dimension ref="B2:T111"/>
  <sheetViews>
    <sheetView showGridLines="0" topLeftCell="D1" workbookViewId="0">
      <selection activeCell="N5" sqref="N5"/>
    </sheetView>
  </sheetViews>
  <sheetFormatPr defaultRowHeight="14.5" x14ac:dyDescent="0.35"/>
  <cols>
    <col min="1" max="1" width="1.81640625" customWidth="1"/>
    <col min="2" max="2" width="14.1796875" bestFit="1" customWidth="1"/>
    <col min="3" max="3" width="14.6328125" bestFit="1" customWidth="1"/>
    <col min="4" max="4" width="13.36328125" bestFit="1" customWidth="1"/>
    <col min="6" max="6" width="14.6328125" bestFit="1" customWidth="1"/>
    <col min="7" max="7" width="12.08984375" customWidth="1"/>
    <col min="8" max="8" width="10.54296875" customWidth="1"/>
    <col min="9" max="9" width="17.08984375" bestFit="1" customWidth="1"/>
    <col min="10" max="10" width="12.08984375" customWidth="1"/>
    <col min="12" max="12" width="16.453125" bestFit="1" customWidth="1"/>
    <col min="13" max="13" width="12.453125" bestFit="1" customWidth="1"/>
    <col min="14" max="14" width="13" bestFit="1" customWidth="1"/>
    <col min="15" max="15" width="12.453125" bestFit="1" customWidth="1"/>
    <col min="16" max="16" width="11.81640625" bestFit="1" customWidth="1"/>
    <col min="17" max="17" width="12.7265625" bestFit="1" customWidth="1"/>
    <col min="18" max="18" width="11.81640625" bestFit="1" customWidth="1"/>
    <col min="19" max="19" width="12.453125" bestFit="1" customWidth="1"/>
    <col min="20" max="20" width="12" bestFit="1" customWidth="1"/>
  </cols>
  <sheetData>
    <row r="2" spans="2:17" x14ac:dyDescent="0.35">
      <c r="B2" s="38" t="s">
        <v>88</v>
      </c>
      <c r="C2" s="39"/>
      <c r="D2" s="39"/>
      <c r="E2" s="39"/>
    </row>
    <row r="3" spans="2:17" x14ac:dyDescent="0.35">
      <c r="B3" s="17"/>
    </row>
    <row r="4" spans="2:17" x14ac:dyDescent="0.35">
      <c r="B4" s="51" t="s">
        <v>54</v>
      </c>
      <c r="C4" s="51"/>
      <c r="D4" s="51"/>
      <c r="E4" s="40"/>
      <c r="F4" s="51" t="s">
        <v>56</v>
      </c>
      <c r="G4" s="51"/>
      <c r="I4" s="51" t="s">
        <v>82</v>
      </c>
      <c r="J4" s="51"/>
      <c r="K4" s="40"/>
      <c r="L4" t="s">
        <v>57</v>
      </c>
    </row>
    <row r="5" spans="2:17" ht="15" thickBot="1" x14ac:dyDescent="0.4">
      <c r="B5" s="17"/>
      <c r="C5" s="17"/>
    </row>
    <row r="6" spans="2:17" x14ac:dyDescent="0.35">
      <c r="B6" s="36" t="s">
        <v>52</v>
      </c>
      <c r="C6" s="37" t="s">
        <v>53</v>
      </c>
      <c r="D6" s="18" t="s">
        <v>55</v>
      </c>
      <c r="F6" s="37" t="s">
        <v>53</v>
      </c>
      <c r="G6" s="18" t="s">
        <v>55</v>
      </c>
      <c r="H6" s="45"/>
      <c r="I6" t="s">
        <v>83</v>
      </c>
      <c r="J6" s="46">
        <f>M21</f>
        <v>0.56045174300658407</v>
      </c>
      <c r="L6" s="44" t="s">
        <v>58</v>
      </c>
      <c r="M6" s="44"/>
    </row>
    <row r="7" spans="2:17" x14ac:dyDescent="0.35">
      <c r="B7" s="32">
        <v>45495</v>
      </c>
      <c r="C7" s="33">
        <v>2604.800048828125</v>
      </c>
      <c r="F7" s="41">
        <v>24834.849609375</v>
      </c>
      <c r="I7" t="s">
        <v>84</v>
      </c>
      <c r="J7" s="47">
        <v>0.75</v>
      </c>
      <c r="L7" t="s">
        <v>59</v>
      </c>
      <c r="M7">
        <v>0.38284711866069143</v>
      </c>
    </row>
    <row r="8" spans="2:17" x14ac:dyDescent="0.35">
      <c r="B8" s="32">
        <v>45502</v>
      </c>
      <c r="C8" s="33">
        <v>2587.02490234375</v>
      </c>
      <c r="D8" s="6">
        <f>IFERROR(C8/C7-1,0)</f>
        <v>-6.8239965260948887E-3</v>
      </c>
      <c r="F8" s="41">
        <v>24717.69921875</v>
      </c>
      <c r="G8" s="6">
        <f>IFERROR(F8/F7-1,0)</f>
        <v>-4.7171773724281607E-3</v>
      </c>
      <c r="H8" s="6"/>
      <c r="I8" s="6"/>
      <c r="J8" s="48"/>
      <c r="L8" t="s">
        <v>60</v>
      </c>
      <c r="M8">
        <v>0.14657191626679356</v>
      </c>
    </row>
    <row r="9" spans="2:17" x14ac:dyDescent="0.35">
      <c r="B9" s="32">
        <v>45509</v>
      </c>
      <c r="C9" s="33">
        <v>2639.533203125</v>
      </c>
      <c r="D9" s="6">
        <f t="shared" ref="D9:D72" si="0">IFERROR(C9/C8-1,0)</f>
        <v>2.0296789850642538E-2</v>
      </c>
      <c r="F9" s="41">
        <v>24367.5</v>
      </c>
      <c r="G9" s="6">
        <f t="shared" ref="G9:G72" si="1">IFERROR(F9/F8-1,0)</f>
        <v>-1.4167953726225035E-2</v>
      </c>
      <c r="H9" s="6"/>
      <c r="I9" s="6"/>
      <c r="J9" s="47"/>
      <c r="L9" t="s">
        <v>61</v>
      </c>
      <c r="M9">
        <v>0.13820497426940917</v>
      </c>
    </row>
    <row r="10" spans="2:17" x14ac:dyDescent="0.35">
      <c r="B10" s="32">
        <v>45516</v>
      </c>
      <c r="C10" s="33">
        <v>2640.5419921875</v>
      </c>
      <c r="D10" s="6">
        <f t="shared" si="0"/>
        <v>3.8218464587069789E-4</v>
      </c>
      <c r="F10" s="41">
        <v>24541.150390625</v>
      </c>
      <c r="G10" s="6">
        <f t="shared" si="1"/>
        <v>7.126311300913013E-3</v>
      </c>
      <c r="H10" s="6"/>
      <c r="I10" s="6" t="s">
        <v>85</v>
      </c>
      <c r="J10" s="48">
        <v>1</v>
      </c>
      <c r="L10" t="s">
        <v>62</v>
      </c>
      <c r="M10">
        <v>2.5047411379131898E-2</v>
      </c>
    </row>
    <row r="11" spans="2:17" ht="15" thickBot="1" x14ac:dyDescent="0.4">
      <c r="B11" s="32">
        <v>45523</v>
      </c>
      <c r="C11" s="33">
        <v>2705.252685546875</v>
      </c>
      <c r="D11" s="6">
        <f t="shared" si="0"/>
        <v>2.4506595066782877E-2</v>
      </c>
      <c r="F11" s="41">
        <v>24823.150390625</v>
      </c>
      <c r="G11" s="6">
        <f t="shared" si="1"/>
        <v>1.1490903870086111E-2</v>
      </c>
      <c r="H11" s="6"/>
      <c r="I11" s="6" t="s">
        <v>86</v>
      </c>
      <c r="J11" s="47">
        <v>0.25</v>
      </c>
      <c r="L11" s="42" t="s">
        <v>63</v>
      </c>
      <c r="M11" s="42">
        <v>104</v>
      </c>
    </row>
    <row r="12" spans="2:17" x14ac:dyDescent="0.35">
      <c r="B12" s="32">
        <v>45530</v>
      </c>
      <c r="C12" s="33">
        <v>2669.1259765625</v>
      </c>
      <c r="D12" s="6">
        <f t="shared" si="0"/>
        <v>-1.3354282643313176E-2</v>
      </c>
      <c r="F12" s="41">
        <v>25235.900390625</v>
      </c>
      <c r="G12" s="6">
        <f t="shared" si="1"/>
        <v>1.6627623549180237E-2</v>
      </c>
      <c r="H12" s="6"/>
      <c r="I12" s="6"/>
      <c r="J12" s="6"/>
    </row>
    <row r="13" spans="2:17" ht="15" thickBot="1" x14ac:dyDescent="0.4">
      <c r="B13" s="32">
        <v>45537</v>
      </c>
      <c r="C13" s="33">
        <v>2727.687255859375</v>
      </c>
      <c r="D13" s="6">
        <f t="shared" si="0"/>
        <v>2.194024553771512E-2</v>
      </c>
      <c r="F13" s="41">
        <v>24852.150390625</v>
      </c>
      <c r="G13" s="6">
        <f t="shared" si="1"/>
        <v>-1.5206511123437516E-2</v>
      </c>
      <c r="H13" s="6"/>
      <c r="I13" s="49" t="s">
        <v>87</v>
      </c>
      <c r="J13" s="50">
        <f>IFERROR((J6*J7)+(J10*J11),0)</f>
        <v>0.67033880725493811</v>
      </c>
      <c r="L13" t="s">
        <v>64</v>
      </c>
    </row>
    <row r="14" spans="2:17" x14ac:dyDescent="0.35">
      <c r="B14" s="32">
        <v>45544</v>
      </c>
      <c r="C14" s="33">
        <v>2818.00341796875</v>
      </c>
      <c r="D14" s="6">
        <f t="shared" si="0"/>
        <v>3.311089345575291E-2</v>
      </c>
      <c r="F14" s="41">
        <v>25356.5</v>
      </c>
      <c r="G14" s="6">
        <f t="shared" si="1"/>
        <v>2.0294002790408605E-2</v>
      </c>
      <c r="H14" s="6"/>
      <c r="I14" s="6"/>
      <c r="J14" s="6"/>
      <c r="L14" s="43"/>
      <c r="M14" s="43" t="s">
        <v>69</v>
      </c>
      <c r="N14" s="43" t="s">
        <v>70</v>
      </c>
      <c r="O14" s="43" t="s">
        <v>71</v>
      </c>
      <c r="P14" s="43" t="s">
        <v>72</v>
      </c>
      <c r="Q14" s="43" t="s">
        <v>73</v>
      </c>
    </row>
    <row r="15" spans="2:17" x14ac:dyDescent="0.35">
      <c r="B15" s="32">
        <v>45551</v>
      </c>
      <c r="C15" s="33">
        <v>2860.903564453125</v>
      </c>
      <c r="D15" s="6">
        <f t="shared" si="0"/>
        <v>1.5223596327394784E-2</v>
      </c>
      <c r="F15" s="41">
        <v>25790.94921875</v>
      </c>
      <c r="G15" s="6">
        <f t="shared" si="1"/>
        <v>1.7133643000808441E-2</v>
      </c>
      <c r="H15" s="6"/>
      <c r="I15" s="6"/>
      <c r="J15" s="6"/>
      <c r="L15" t="s">
        <v>65</v>
      </c>
      <c r="M15">
        <v>1</v>
      </c>
      <c r="N15">
        <v>1.099030398443708E-2</v>
      </c>
      <c r="O15">
        <v>1.099030398443708E-2</v>
      </c>
      <c r="P15">
        <v>17.5179792464934</v>
      </c>
      <c r="Q15">
        <v>6.0453759464978494E-5</v>
      </c>
    </row>
    <row r="16" spans="2:17" x14ac:dyDescent="0.35">
      <c r="B16" s="32">
        <v>45558</v>
      </c>
      <c r="C16" s="33">
        <v>2849.998291015625</v>
      </c>
      <c r="D16" s="6">
        <f t="shared" si="0"/>
        <v>-3.811828393308514E-3</v>
      </c>
      <c r="F16" s="41">
        <v>26178.94921875</v>
      </c>
      <c r="G16" s="6">
        <f t="shared" si="1"/>
        <v>1.5044037220542705E-2</v>
      </c>
      <c r="H16" s="6"/>
      <c r="I16" s="6"/>
      <c r="J16" s="6"/>
      <c r="L16" t="s">
        <v>66</v>
      </c>
      <c r="M16">
        <v>102</v>
      </c>
      <c r="N16">
        <v>6.3992027313137537E-2</v>
      </c>
      <c r="O16">
        <v>6.2737281679546607E-4</v>
      </c>
    </row>
    <row r="17" spans="2:20" ht="15" thickBot="1" x14ac:dyDescent="0.4">
      <c r="B17" s="32">
        <v>45565</v>
      </c>
      <c r="C17" s="33">
        <v>2737.103515625</v>
      </c>
      <c r="D17" s="6">
        <f t="shared" si="0"/>
        <v>-3.9612225644666599E-2</v>
      </c>
      <c r="F17" s="41">
        <v>25014.599609375</v>
      </c>
      <c r="G17" s="6">
        <f t="shared" si="1"/>
        <v>-4.4476560141728849E-2</v>
      </c>
      <c r="H17" s="6"/>
      <c r="I17" s="6"/>
      <c r="J17" s="6"/>
      <c r="L17" s="42" t="s">
        <v>67</v>
      </c>
      <c r="M17" s="42">
        <v>103</v>
      </c>
      <c r="N17" s="42">
        <v>7.4982331297574617E-2</v>
      </c>
      <c r="O17" s="42"/>
      <c r="P17" s="42"/>
      <c r="Q17" s="42"/>
    </row>
    <row r="18" spans="2:20" ht="15" thickBot="1" x14ac:dyDescent="0.4">
      <c r="B18" s="32">
        <v>45572</v>
      </c>
      <c r="C18" s="33">
        <v>2674.122314453125</v>
      </c>
      <c r="D18" s="6">
        <f t="shared" si="0"/>
        <v>-2.3010164143351219E-2</v>
      </c>
      <c r="F18" s="41">
        <v>24964.25</v>
      </c>
      <c r="G18" s="6">
        <f t="shared" si="1"/>
        <v>-2.0128089260372795E-3</v>
      </c>
      <c r="H18" s="6"/>
      <c r="I18" s="6"/>
      <c r="J18" s="6"/>
    </row>
    <row r="19" spans="2:20" x14ac:dyDescent="0.35">
      <c r="B19" s="32">
        <v>45579</v>
      </c>
      <c r="C19" s="33">
        <v>2610.61279296875</v>
      </c>
      <c r="D19" s="6">
        <f t="shared" si="0"/>
        <v>-2.3749669617249003E-2</v>
      </c>
      <c r="F19" s="41">
        <v>24854.05078125</v>
      </c>
      <c r="G19" s="6">
        <f t="shared" si="1"/>
        <v>-4.4142811720760955E-3</v>
      </c>
      <c r="H19" s="6"/>
      <c r="I19" s="6"/>
      <c r="J19" s="6"/>
      <c r="L19" s="43"/>
      <c r="M19" s="43" t="s">
        <v>74</v>
      </c>
      <c r="N19" s="43" t="s">
        <v>62</v>
      </c>
      <c r="O19" s="43" t="s">
        <v>75</v>
      </c>
      <c r="P19" s="43" t="s">
        <v>76</v>
      </c>
      <c r="Q19" s="43" t="s">
        <v>77</v>
      </c>
      <c r="R19" s="43" t="s">
        <v>78</v>
      </c>
      <c r="S19" s="43" t="s">
        <v>79</v>
      </c>
      <c r="T19" s="43" t="s">
        <v>80</v>
      </c>
    </row>
    <row r="20" spans="2:20" x14ac:dyDescent="0.35">
      <c r="B20" s="32">
        <v>45586</v>
      </c>
      <c r="C20" s="33">
        <v>2428.9716796875</v>
      </c>
      <c r="D20" s="6">
        <f t="shared" si="0"/>
        <v>-6.9577960305132192E-2</v>
      </c>
      <c r="F20" s="41">
        <v>24180.80078125</v>
      </c>
      <c r="G20" s="6">
        <f t="shared" si="1"/>
        <v>-2.7088139713140946E-2</v>
      </c>
      <c r="H20" s="6"/>
      <c r="I20" s="6"/>
      <c r="J20" s="6"/>
      <c r="L20" t="s">
        <v>68</v>
      </c>
      <c r="M20">
        <v>-1.3115824830953378E-3</v>
      </c>
      <c r="N20">
        <v>2.4562660965567564E-3</v>
      </c>
      <c r="O20">
        <v>-0.5339741019647426</v>
      </c>
      <c r="P20">
        <v>0.5945212917607442</v>
      </c>
      <c r="Q20">
        <v>-6.1835746393844203E-3</v>
      </c>
      <c r="R20">
        <v>3.5604096731937452E-3</v>
      </c>
      <c r="S20">
        <v>-6.1835746393844203E-3</v>
      </c>
      <c r="T20">
        <v>3.5604096731937452E-3</v>
      </c>
    </row>
    <row r="21" spans="2:20" ht="15" thickBot="1" x14ac:dyDescent="0.4">
      <c r="B21" s="32">
        <v>45593</v>
      </c>
      <c r="C21" s="33">
        <v>2438.051513671875</v>
      </c>
      <c r="D21" s="6">
        <f t="shared" si="0"/>
        <v>3.7381390900133038E-3</v>
      </c>
      <c r="F21" s="41">
        <v>24304.349609375</v>
      </c>
      <c r="G21" s="6">
        <f t="shared" si="1"/>
        <v>5.1093770319137199E-3</v>
      </c>
      <c r="H21" s="6"/>
      <c r="I21" s="6"/>
      <c r="J21" s="6"/>
      <c r="L21" s="42" t="s">
        <v>81</v>
      </c>
      <c r="M21" s="42">
        <v>0.56045174300658407</v>
      </c>
      <c r="N21" s="42">
        <v>0.13390482319910946</v>
      </c>
      <c r="O21" s="42">
        <v>4.1854485119869187</v>
      </c>
      <c r="P21" s="42">
        <v>6.0453759464975756E-5</v>
      </c>
      <c r="Q21" s="42">
        <v>0.29485216109244955</v>
      </c>
      <c r="R21" s="42">
        <v>0.82605132492071864</v>
      </c>
      <c r="S21" s="42">
        <v>0.29485216109244955</v>
      </c>
      <c r="T21" s="42">
        <v>0.82605132492071864</v>
      </c>
    </row>
    <row r="22" spans="2:20" x14ac:dyDescent="0.35">
      <c r="B22" s="32">
        <v>45600</v>
      </c>
      <c r="C22" s="33">
        <v>2437.45458984375</v>
      </c>
      <c r="D22" s="6">
        <f t="shared" si="0"/>
        <v>-2.4483642973804898E-4</v>
      </c>
      <c r="F22" s="41">
        <v>24148.19921875</v>
      </c>
      <c r="G22" s="6">
        <f t="shared" si="1"/>
        <v>-6.424791987223899E-3</v>
      </c>
      <c r="H22" s="6"/>
      <c r="I22" s="6"/>
      <c r="J22" s="6"/>
    </row>
    <row r="23" spans="2:20" x14ac:dyDescent="0.35">
      <c r="B23" s="32">
        <v>45607</v>
      </c>
      <c r="C23" s="33">
        <v>2322.27392578125</v>
      </c>
      <c r="D23" s="6">
        <f t="shared" si="0"/>
        <v>-4.7254486111219629E-2</v>
      </c>
      <c r="F23" s="41">
        <v>23532.69921875</v>
      </c>
      <c r="G23" s="6">
        <f t="shared" si="1"/>
        <v>-2.5488443027341434E-2</v>
      </c>
      <c r="H23" s="6"/>
      <c r="I23" s="6"/>
      <c r="J23" s="6"/>
    </row>
    <row r="24" spans="2:20" x14ac:dyDescent="0.35">
      <c r="B24" s="32">
        <v>45614</v>
      </c>
      <c r="C24" s="33">
        <v>2376.75390625</v>
      </c>
      <c r="D24" s="6">
        <f t="shared" si="0"/>
        <v>2.3459756346539518E-2</v>
      </c>
      <c r="F24" s="41">
        <v>23907.25</v>
      </c>
      <c r="G24" s="6">
        <f t="shared" si="1"/>
        <v>1.5916184444815906E-2</v>
      </c>
      <c r="H24" s="6"/>
      <c r="I24" s="6"/>
      <c r="J24" s="6"/>
    </row>
    <row r="25" spans="2:20" x14ac:dyDescent="0.35">
      <c r="B25" s="32">
        <v>45621</v>
      </c>
      <c r="C25" s="33">
        <v>2426.228271484375</v>
      </c>
      <c r="D25" s="6">
        <f t="shared" si="0"/>
        <v>2.0815939380293136E-2</v>
      </c>
      <c r="F25" s="41">
        <v>24131.099609375</v>
      </c>
      <c r="G25" s="6">
        <f t="shared" si="1"/>
        <v>9.3632521254012335E-3</v>
      </c>
      <c r="H25" s="6"/>
      <c r="I25" s="6"/>
      <c r="J25" s="6"/>
    </row>
    <row r="26" spans="2:20" x14ac:dyDescent="0.35">
      <c r="B26" s="32">
        <v>45628</v>
      </c>
      <c r="C26" s="33">
        <v>2414.22412109375</v>
      </c>
      <c r="D26" s="6">
        <f t="shared" si="0"/>
        <v>-4.9476591018704497E-3</v>
      </c>
      <c r="F26" s="41">
        <v>24677.80078125</v>
      </c>
      <c r="G26" s="6">
        <f t="shared" si="1"/>
        <v>2.2655460411037609E-2</v>
      </c>
      <c r="H26" s="6"/>
      <c r="I26" s="6"/>
      <c r="J26" s="6"/>
    </row>
    <row r="27" spans="2:20" x14ac:dyDescent="0.35">
      <c r="B27" s="32">
        <v>45635</v>
      </c>
      <c r="C27" s="33">
        <v>2323.14892578125</v>
      </c>
      <c r="D27" s="6">
        <f t="shared" si="0"/>
        <v>-3.7724416104018887E-2</v>
      </c>
      <c r="F27" s="41">
        <v>24768.30078125</v>
      </c>
      <c r="G27" s="6">
        <f t="shared" si="1"/>
        <v>3.667263578396307E-3</v>
      </c>
      <c r="H27" s="6"/>
      <c r="I27" s="6"/>
      <c r="J27" s="6"/>
    </row>
    <row r="28" spans="2:20" x14ac:dyDescent="0.35">
      <c r="B28" s="32">
        <v>45642</v>
      </c>
      <c r="C28" s="33">
        <v>2268.523193359375</v>
      </c>
      <c r="D28" s="6">
        <f t="shared" si="0"/>
        <v>-2.3513659333529335E-2</v>
      </c>
      <c r="F28" s="41">
        <v>23587.5</v>
      </c>
      <c r="G28" s="6">
        <f t="shared" si="1"/>
        <v>-4.7673871198458895E-2</v>
      </c>
      <c r="H28" s="6"/>
      <c r="I28" s="6"/>
      <c r="J28" s="6"/>
    </row>
    <row r="29" spans="2:20" x14ac:dyDescent="0.35">
      <c r="B29" s="32">
        <v>45649</v>
      </c>
      <c r="C29" s="33">
        <v>2275.667236328125</v>
      </c>
      <c r="D29" s="6">
        <f t="shared" si="0"/>
        <v>3.1492042883505267E-3</v>
      </c>
      <c r="F29" s="41">
        <v>23813.400390625</v>
      </c>
      <c r="G29" s="6">
        <f t="shared" si="1"/>
        <v>9.5771230789614137E-3</v>
      </c>
      <c r="H29" s="6"/>
      <c r="I29" s="6"/>
      <c r="J29" s="6"/>
    </row>
    <row r="30" spans="2:20" x14ac:dyDescent="0.35">
      <c r="B30" s="32">
        <v>45656</v>
      </c>
      <c r="C30" s="33">
        <v>2338.846435546875</v>
      </c>
      <c r="D30" s="6">
        <f t="shared" si="0"/>
        <v>2.7762933969507797E-2</v>
      </c>
      <c r="F30" s="41">
        <v>24004.75</v>
      </c>
      <c r="G30" s="6">
        <f t="shared" si="1"/>
        <v>8.0353753028203911E-3</v>
      </c>
      <c r="H30" s="6"/>
      <c r="I30" s="6"/>
      <c r="J30" s="6"/>
    </row>
    <row r="31" spans="2:20" x14ac:dyDescent="0.35">
      <c r="B31" s="32">
        <v>45663</v>
      </c>
      <c r="C31" s="33">
        <v>2373.6435546875</v>
      </c>
      <c r="D31" s="6">
        <f t="shared" si="0"/>
        <v>1.4877898185944316E-2</v>
      </c>
      <c r="F31" s="41">
        <v>23431.5</v>
      </c>
      <c r="G31" s="6">
        <f t="shared" si="1"/>
        <v>-2.3880690280048689E-2</v>
      </c>
      <c r="H31" s="6"/>
      <c r="I31" s="6"/>
      <c r="J31" s="6"/>
    </row>
    <row r="32" spans="2:20" x14ac:dyDescent="0.35">
      <c r="B32" s="32">
        <v>45670</v>
      </c>
      <c r="C32" s="33">
        <v>2288.060302734375</v>
      </c>
      <c r="D32" s="6">
        <f t="shared" si="0"/>
        <v>-3.6055646090633164E-2</v>
      </c>
      <c r="F32" s="41">
        <v>23203.19921875</v>
      </c>
      <c r="G32" s="6">
        <f t="shared" si="1"/>
        <v>-9.7433276252053558E-3</v>
      </c>
      <c r="H32" s="6"/>
      <c r="I32" s="6"/>
      <c r="J32" s="6"/>
    </row>
    <row r="33" spans="2:10" x14ac:dyDescent="0.35">
      <c r="B33" s="32">
        <v>45677</v>
      </c>
      <c r="C33" s="33">
        <v>2301.76513671875</v>
      </c>
      <c r="D33" s="6">
        <f t="shared" si="0"/>
        <v>5.9897171276459549E-3</v>
      </c>
      <c r="F33" s="41">
        <v>23092.19921875</v>
      </c>
      <c r="G33" s="6">
        <f t="shared" si="1"/>
        <v>-4.7838230820473893E-3</v>
      </c>
      <c r="H33" s="6"/>
      <c r="I33" s="6"/>
      <c r="J33" s="6"/>
    </row>
    <row r="34" spans="2:10" x14ac:dyDescent="0.35">
      <c r="B34" s="32">
        <v>45684</v>
      </c>
      <c r="C34" s="33">
        <v>2435.85107421875</v>
      </c>
      <c r="D34" s="6">
        <f t="shared" si="0"/>
        <v>5.8253526982837256E-2</v>
      </c>
      <c r="F34" s="41">
        <v>23482.150390625</v>
      </c>
      <c r="G34" s="6">
        <f t="shared" si="1"/>
        <v>1.688670568710382E-2</v>
      </c>
      <c r="H34" s="6"/>
      <c r="I34" s="6"/>
      <c r="J34" s="6"/>
    </row>
    <row r="35" spans="2:10" x14ac:dyDescent="0.35">
      <c r="B35" s="32">
        <v>45691</v>
      </c>
      <c r="C35" s="33">
        <v>2297.634033203125</v>
      </c>
      <c r="D35" s="6">
        <f t="shared" si="0"/>
        <v>-5.6742812595780401E-2</v>
      </c>
      <c r="F35" s="41">
        <v>23559.94921875</v>
      </c>
      <c r="G35" s="6">
        <f t="shared" si="1"/>
        <v>3.313104925691146E-3</v>
      </c>
      <c r="H35" s="6"/>
      <c r="I35" s="6"/>
      <c r="J35" s="6"/>
    </row>
    <row r="36" spans="2:10" x14ac:dyDescent="0.35">
      <c r="B36" s="32">
        <v>45698</v>
      </c>
      <c r="C36" s="33">
        <v>2253.40869140625</v>
      </c>
      <c r="D36" s="6">
        <f t="shared" si="0"/>
        <v>-1.9248209748712886E-2</v>
      </c>
      <c r="F36" s="41">
        <v>22929.25</v>
      </c>
      <c r="G36" s="6">
        <f t="shared" si="1"/>
        <v>-2.6769973606227571E-2</v>
      </c>
      <c r="H36" s="6"/>
      <c r="I36" s="6"/>
      <c r="J36" s="6"/>
    </row>
    <row r="37" spans="2:10" x14ac:dyDescent="0.35">
      <c r="B37" s="32">
        <v>45705</v>
      </c>
      <c r="C37" s="33">
        <v>2178.857177734375</v>
      </c>
      <c r="D37" s="6">
        <f t="shared" si="0"/>
        <v>-3.3083884852396994E-2</v>
      </c>
      <c r="F37" s="41">
        <v>22795.900390625</v>
      </c>
      <c r="G37" s="6">
        <f t="shared" si="1"/>
        <v>-5.8156986981693359E-3</v>
      </c>
      <c r="H37" s="6"/>
      <c r="I37" s="6"/>
      <c r="J37" s="6"/>
    </row>
    <row r="38" spans="2:10" x14ac:dyDescent="0.35">
      <c r="B38" s="32">
        <v>45712</v>
      </c>
      <c r="C38" s="33">
        <v>2128.89697265625</v>
      </c>
      <c r="D38" s="6">
        <f t="shared" si="0"/>
        <v>-2.2929545630005377E-2</v>
      </c>
      <c r="F38" s="41">
        <v>22124.69921875</v>
      </c>
      <c r="G38" s="6">
        <f t="shared" si="1"/>
        <v>-2.9443942128780209E-2</v>
      </c>
      <c r="H38" s="6"/>
      <c r="I38" s="6"/>
      <c r="J38" s="6"/>
    </row>
    <row r="39" spans="2:10" x14ac:dyDescent="0.35">
      <c r="B39" s="32">
        <v>45719</v>
      </c>
      <c r="C39" s="33">
        <v>2142.79638671875</v>
      </c>
      <c r="D39" s="6">
        <f t="shared" si="0"/>
        <v>6.5289275343172193E-3</v>
      </c>
      <c r="F39" s="41">
        <v>22552.5</v>
      </c>
      <c r="G39" s="6">
        <f t="shared" si="1"/>
        <v>1.9335891395416249E-2</v>
      </c>
      <c r="H39" s="6"/>
      <c r="I39" s="6"/>
      <c r="J39" s="6"/>
    </row>
    <row r="40" spans="2:10" x14ac:dyDescent="0.35">
      <c r="B40" s="32">
        <v>45726</v>
      </c>
      <c r="C40" s="33">
        <v>2113.879638671875</v>
      </c>
      <c r="D40" s="6">
        <f t="shared" si="0"/>
        <v>-1.3494865039956006E-2</v>
      </c>
      <c r="F40" s="41">
        <v>22397.19921875</v>
      </c>
      <c r="G40" s="6">
        <f t="shared" si="1"/>
        <v>-6.8861891697150623E-3</v>
      </c>
      <c r="H40" s="6"/>
      <c r="I40" s="6"/>
      <c r="J40" s="6"/>
    </row>
    <row r="41" spans="2:10" x14ac:dyDescent="0.35">
      <c r="B41" s="32">
        <v>45733</v>
      </c>
      <c r="C41" s="33">
        <v>2183.27978515625</v>
      </c>
      <c r="D41" s="6">
        <f t="shared" si="0"/>
        <v>3.283069916316439E-2</v>
      </c>
      <c r="F41" s="41">
        <v>23350.400390625</v>
      </c>
      <c r="G41" s="6">
        <f t="shared" si="1"/>
        <v>4.2558945096895062E-2</v>
      </c>
      <c r="H41" s="6"/>
      <c r="I41" s="6"/>
      <c r="J41" s="6"/>
    </row>
    <row r="42" spans="2:10" x14ac:dyDescent="0.35">
      <c r="B42" s="32">
        <v>45740</v>
      </c>
      <c r="C42" s="33">
        <v>2195.575439453125</v>
      </c>
      <c r="D42" s="6">
        <f t="shared" si="0"/>
        <v>5.631735511165914E-3</v>
      </c>
      <c r="F42" s="41">
        <v>23519.349609375</v>
      </c>
      <c r="G42" s="6">
        <f t="shared" si="1"/>
        <v>7.2353885125597817E-3</v>
      </c>
      <c r="H42" s="6"/>
      <c r="I42" s="6"/>
      <c r="J42" s="6"/>
    </row>
    <row r="43" spans="2:10" x14ac:dyDescent="0.35">
      <c r="B43" s="32">
        <v>45747</v>
      </c>
      <c r="C43" s="33">
        <v>2181.676025390625</v>
      </c>
      <c r="D43" s="6">
        <f t="shared" si="0"/>
        <v>-6.3306474524792433E-3</v>
      </c>
      <c r="F43" s="41">
        <v>22904.44921875</v>
      </c>
      <c r="G43" s="6">
        <f t="shared" si="1"/>
        <v>-2.6144447054772924E-2</v>
      </c>
      <c r="H43" s="6"/>
      <c r="I43" s="6"/>
      <c r="J43" s="6"/>
    </row>
    <row r="44" spans="2:10" x14ac:dyDescent="0.35">
      <c r="B44" s="32">
        <v>45754</v>
      </c>
      <c r="C44" s="33">
        <v>2299.869384765625</v>
      </c>
      <c r="D44" s="6">
        <f t="shared" si="0"/>
        <v>5.4175486185597865E-2</v>
      </c>
      <c r="F44" s="41">
        <v>22828.55078125</v>
      </c>
      <c r="G44" s="6">
        <f t="shared" si="1"/>
        <v>-3.3136984336592512E-3</v>
      </c>
      <c r="H44" s="6"/>
      <c r="I44" s="6"/>
      <c r="J44" s="6"/>
    </row>
    <row r="45" spans="2:10" x14ac:dyDescent="0.35">
      <c r="B45" s="32">
        <v>45761</v>
      </c>
      <c r="C45" s="33">
        <v>2308.4716796875</v>
      </c>
      <c r="D45" s="6">
        <f t="shared" si="0"/>
        <v>3.7403406379756809E-3</v>
      </c>
      <c r="F45" s="41">
        <v>23851.650390625</v>
      </c>
      <c r="G45" s="6">
        <f t="shared" si="1"/>
        <v>4.4816669230502093E-2</v>
      </c>
      <c r="H45" s="6"/>
      <c r="I45" s="6"/>
      <c r="J45" s="6"/>
    </row>
    <row r="46" spans="2:10" x14ac:dyDescent="0.35">
      <c r="B46" s="32">
        <v>45768</v>
      </c>
      <c r="C46" s="33">
        <v>2266.870849609375</v>
      </c>
      <c r="D46" s="6">
        <f t="shared" si="0"/>
        <v>-1.8020940193538171E-2</v>
      </c>
      <c r="F46" s="41">
        <v>24039.349609375</v>
      </c>
      <c r="G46" s="6">
        <f t="shared" si="1"/>
        <v>7.8694436517390276E-3</v>
      </c>
      <c r="H46" s="6"/>
      <c r="I46" s="6"/>
      <c r="J46" s="6"/>
    </row>
    <row r="47" spans="2:10" x14ac:dyDescent="0.35">
      <c r="B47" s="32">
        <v>45775</v>
      </c>
      <c r="C47" s="33">
        <v>2253.65185546875</v>
      </c>
      <c r="D47" s="6">
        <f t="shared" si="0"/>
        <v>-5.8313838844867849E-3</v>
      </c>
      <c r="F47" s="41">
        <v>24346.69921875</v>
      </c>
      <c r="G47" s="6">
        <f t="shared" si="1"/>
        <v>1.2785271414129218E-2</v>
      </c>
      <c r="H47" s="6"/>
      <c r="I47" s="6"/>
      <c r="J47" s="6"/>
    </row>
    <row r="48" spans="2:10" x14ac:dyDescent="0.35">
      <c r="B48" s="32">
        <v>45782</v>
      </c>
      <c r="C48" s="33">
        <v>2267.551025390625</v>
      </c>
      <c r="D48" s="6">
        <f t="shared" si="0"/>
        <v>6.1673988766930421E-3</v>
      </c>
      <c r="F48" s="41">
        <v>24008</v>
      </c>
      <c r="G48" s="6">
        <f t="shared" si="1"/>
        <v>-1.391150462355728E-2</v>
      </c>
      <c r="H48" s="6"/>
      <c r="I48" s="6"/>
      <c r="J48" s="6"/>
    </row>
    <row r="49" spans="2:10" x14ac:dyDescent="0.35">
      <c r="B49" s="32">
        <v>45789</v>
      </c>
      <c r="C49" s="33">
        <v>2314.692626953125</v>
      </c>
      <c r="D49" s="6">
        <f t="shared" si="0"/>
        <v>2.0789654139923508E-2</v>
      </c>
      <c r="F49" s="41">
        <v>25019.80078125</v>
      </c>
      <c r="G49" s="6">
        <f t="shared" si="1"/>
        <v>4.2144317779490237E-2</v>
      </c>
      <c r="H49" s="6"/>
      <c r="I49" s="6"/>
      <c r="J49" s="6"/>
    </row>
    <row r="50" spans="2:10" x14ac:dyDescent="0.35">
      <c r="B50" s="32">
        <v>45796</v>
      </c>
      <c r="C50" s="33">
        <v>2293.1142578125</v>
      </c>
      <c r="D50" s="6">
        <f t="shared" si="0"/>
        <v>-9.3223475503220188E-3</v>
      </c>
      <c r="F50" s="41">
        <v>24853.150390625</v>
      </c>
      <c r="G50" s="6">
        <f t="shared" si="1"/>
        <v>-6.6607401106841824E-3</v>
      </c>
      <c r="H50" s="6"/>
      <c r="I50" s="6"/>
      <c r="J50" s="6"/>
    </row>
    <row r="51" spans="2:10" x14ac:dyDescent="0.35">
      <c r="B51" s="32">
        <v>45803</v>
      </c>
      <c r="C51" s="33">
        <v>2282.519775390625</v>
      </c>
      <c r="D51" s="6">
        <f t="shared" si="0"/>
        <v>-4.6201284501111717E-3</v>
      </c>
      <c r="F51" s="41">
        <v>24750.69921875</v>
      </c>
      <c r="G51" s="6">
        <f t="shared" si="1"/>
        <v>-4.1222609715364511E-3</v>
      </c>
      <c r="H51" s="6"/>
      <c r="I51" s="6"/>
      <c r="J51" s="6"/>
    </row>
    <row r="52" spans="2:10" x14ac:dyDescent="0.35">
      <c r="B52" s="32">
        <v>45810</v>
      </c>
      <c r="C52" s="33">
        <v>2322.857177734375</v>
      </c>
      <c r="D52" s="6">
        <f t="shared" si="0"/>
        <v>1.7672312318453676E-2</v>
      </c>
      <c r="F52" s="41">
        <v>25003.05078125</v>
      </c>
      <c r="G52" s="6">
        <f t="shared" si="1"/>
        <v>1.0195734684894431E-2</v>
      </c>
      <c r="H52" s="6"/>
      <c r="I52" s="6"/>
      <c r="J52" s="6"/>
    </row>
    <row r="53" spans="2:10" x14ac:dyDescent="0.35">
      <c r="B53" s="32">
        <v>45817</v>
      </c>
      <c r="C53" s="33">
        <v>2254.04052734375</v>
      </c>
      <c r="D53" s="6">
        <f t="shared" si="0"/>
        <v>-2.9625863806980179E-2</v>
      </c>
      <c r="F53" s="41">
        <v>24718.599609375</v>
      </c>
      <c r="G53" s="6">
        <f t="shared" si="1"/>
        <v>-1.1376658567134212E-2</v>
      </c>
      <c r="H53" s="6"/>
      <c r="I53" s="6"/>
      <c r="J53" s="6"/>
    </row>
    <row r="54" spans="2:10" x14ac:dyDescent="0.35">
      <c r="B54" s="32">
        <v>45824</v>
      </c>
      <c r="C54" s="33">
        <v>2241.59912109375</v>
      </c>
      <c r="D54" s="6">
        <f t="shared" si="0"/>
        <v>-5.5196018434776617E-3</v>
      </c>
      <c r="F54" s="41">
        <v>25112.400390625</v>
      </c>
      <c r="G54" s="6">
        <f t="shared" si="1"/>
        <v>1.5931354828881306E-2</v>
      </c>
      <c r="H54" s="6"/>
      <c r="I54" s="6"/>
      <c r="J54" s="6"/>
    </row>
    <row r="55" spans="2:10" x14ac:dyDescent="0.35">
      <c r="B55" s="32">
        <v>45831</v>
      </c>
      <c r="C55" s="33">
        <v>2265.859375</v>
      </c>
      <c r="D55" s="6">
        <f t="shared" si="0"/>
        <v>1.0822744208791812E-2</v>
      </c>
      <c r="F55" s="41">
        <v>25637.80078125</v>
      </c>
      <c r="G55" s="6">
        <f t="shared" si="1"/>
        <v>2.092195020995069E-2</v>
      </c>
      <c r="H55" s="6"/>
      <c r="I55" s="6"/>
      <c r="J55" s="6"/>
    </row>
    <row r="56" spans="2:10" x14ac:dyDescent="0.35">
      <c r="B56" s="32">
        <v>45838</v>
      </c>
      <c r="C56" s="33">
        <v>2297.683349609375</v>
      </c>
      <c r="D56" s="6">
        <f t="shared" si="0"/>
        <v>1.4044991035410126E-2</v>
      </c>
      <c r="F56" s="41">
        <v>25461</v>
      </c>
      <c r="G56" s="6">
        <f t="shared" si="1"/>
        <v>-6.896097787736255E-3</v>
      </c>
      <c r="H56" s="6"/>
      <c r="I56" s="6"/>
      <c r="J56" s="6"/>
    </row>
    <row r="57" spans="2:10" x14ac:dyDescent="0.35">
      <c r="B57" s="32">
        <v>45845</v>
      </c>
      <c r="C57" s="33">
        <v>2474.77587890625</v>
      </c>
      <c r="D57" s="6">
        <f t="shared" si="0"/>
        <v>7.7074384217034053E-2</v>
      </c>
      <c r="F57" s="41">
        <v>25149.849609375</v>
      </c>
      <c r="G57" s="6">
        <f t="shared" si="1"/>
        <v>-1.2220666534111024E-2</v>
      </c>
      <c r="H57" s="6"/>
      <c r="I57" s="6"/>
      <c r="J57" s="6"/>
    </row>
    <row r="58" spans="2:10" x14ac:dyDescent="0.35">
      <c r="B58" s="32">
        <v>45852</v>
      </c>
      <c r="C58" s="33">
        <v>2445.309326171875</v>
      </c>
      <c r="D58" s="6">
        <f t="shared" si="0"/>
        <v>-1.1906756076593861E-2</v>
      </c>
      <c r="F58" s="41">
        <v>24968.400390625</v>
      </c>
      <c r="G58" s="6">
        <f t="shared" si="1"/>
        <v>-7.2147238082235221E-3</v>
      </c>
      <c r="H58" s="6"/>
      <c r="I58" s="6"/>
      <c r="J58" s="6"/>
    </row>
    <row r="59" spans="2:10" x14ac:dyDescent="0.35">
      <c r="B59" s="32">
        <v>45859</v>
      </c>
      <c r="C59" s="33">
        <v>2372.42919921875</v>
      </c>
      <c r="D59" s="6">
        <f t="shared" si="0"/>
        <v>-2.9804052261649283E-2</v>
      </c>
      <c r="F59" s="41">
        <v>24837</v>
      </c>
      <c r="G59" s="6">
        <f t="shared" si="1"/>
        <v>-5.2626675545597301E-3</v>
      </c>
      <c r="H59" s="6"/>
      <c r="I59" s="6"/>
      <c r="J59" s="6"/>
    </row>
    <row r="60" spans="2:10" x14ac:dyDescent="0.35">
      <c r="B60" s="32">
        <v>45866</v>
      </c>
      <c r="C60" s="33">
        <v>2508.268798828125</v>
      </c>
      <c r="D60" s="6">
        <f t="shared" si="0"/>
        <v>5.7257598942934695E-2</v>
      </c>
      <c r="F60" s="41">
        <v>24565.349609375</v>
      </c>
      <c r="G60" s="6">
        <f t="shared" si="1"/>
        <v>-1.0937326997020547E-2</v>
      </c>
      <c r="H60" s="6"/>
      <c r="I60" s="6"/>
      <c r="J60" s="6"/>
    </row>
    <row r="61" spans="2:10" x14ac:dyDescent="0.35">
      <c r="B61" s="32">
        <v>45873</v>
      </c>
      <c r="C61" s="33">
        <v>2454.1494140625</v>
      </c>
      <c r="D61" s="6">
        <f t="shared" si="0"/>
        <v>-2.1576389576312471E-2</v>
      </c>
      <c r="F61" s="41">
        <v>24363.30078125</v>
      </c>
      <c r="G61" s="6">
        <f t="shared" si="1"/>
        <v>-8.2249522737462E-3</v>
      </c>
      <c r="H61" s="6"/>
      <c r="I61" s="6"/>
      <c r="J61" s="6"/>
    </row>
    <row r="62" spans="2:10" x14ac:dyDescent="0.35">
      <c r="B62" s="32">
        <v>45880</v>
      </c>
      <c r="C62" s="33">
        <v>2436.469482421875</v>
      </c>
      <c r="D62" s="6">
        <f t="shared" si="0"/>
        <v>-7.2040974927269907E-3</v>
      </c>
      <c r="F62" s="41">
        <v>24631.30078125</v>
      </c>
      <c r="G62" s="6">
        <f t="shared" si="1"/>
        <v>1.1000151515029977E-2</v>
      </c>
      <c r="H62" s="6"/>
      <c r="I62" s="6"/>
      <c r="J62" s="6"/>
    </row>
    <row r="63" spans="2:10" x14ac:dyDescent="0.35">
      <c r="B63" s="32">
        <v>45887</v>
      </c>
      <c r="C63" s="33">
        <v>2583.11328125</v>
      </c>
      <c r="D63" s="6">
        <f t="shared" si="0"/>
        <v>6.0187004141073697E-2</v>
      </c>
      <c r="F63" s="41">
        <v>24870.099609375</v>
      </c>
      <c r="G63" s="6">
        <f t="shared" si="1"/>
        <v>9.6949337043044093E-3</v>
      </c>
      <c r="H63" s="6"/>
      <c r="I63" s="6"/>
      <c r="J63" s="6"/>
    </row>
    <row r="64" spans="2:10" x14ac:dyDescent="0.35">
      <c r="B64" s="32">
        <v>45894</v>
      </c>
      <c r="C64" s="33">
        <v>2612.4814453125</v>
      </c>
      <c r="D64" s="6">
        <f t="shared" si="0"/>
        <v>1.13692900252087E-2</v>
      </c>
      <c r="F64" s="41">
        <v>24426.849609375</v>
      </c>
      <c r="G64" s="6">
        <f t="shared" si="1"/>
        <v>-1.7822606542070796E-2</v>
      </c>
      <c r="H64" s="6"/>
      <c r="I64" s="6"/>
      <c r="J64" s="6"/>
    </row>
    <row r="65" spans="2:10" x14ac:dyDescent="0.35">
      <c r="B65" s="32">
        <v>45901</v>
      </c>
      <c r="C65" s="33">
        <v>2586.551025390625</v>
      </c>
      <c r="D65" s="6">
        <f t="shared" si="0"/>
        <v>-9.9255900815683473E-3</v>
      </c>
      <c r="F65" s="41">
        <v>24741</v>
      </c>
      <c r="G65" s="6">
        <f t="shared" si="1"/>
        <v>1.2860863993874538E-2</v>
      </c>
      <c r="H65" s="6"/>
      <c r="I65" s="6"/>
      <c r="J65" s="6"/>
    </row>
    <row r="66" spans="2:10" x14ac:dyDescent="0.35">
      <c r="B66" s="32">
        <v>45908</v>
      </c>
      <c r="C66" s="33">
        <v>2534.59228515625</v>
      </c>
      <c r="D66" s="6">
        <f t="shared" si="0"/>
        <v>-2.0088039912736E-2</v>
      </c>
      <c r="F66" s="41">
        <v>25114</v>
      </c>
      <c r="G66" s="6">
        <f t="shared" si="1"/>
        <v>1.5076189321369338E-2</v>
      </c>
      <c r="H66" s="6"/>
      <c r="I66" s="6"/>
      <c r="J66" s="6"/>
    </row>
    <row r="67" spans="2:10" x14ac:dyDescent="0.35">
      <c r="B67" s="32">
        <v>45915</v>
      </c>
      <c r="C67" s="33">
        <v>2514.064208984375</v>
      </c>
      <c r="D67" s="6">
        <f t="shared" si="0"/>
        <v>-8.0991630457083463E-3</v>
      </c>
      <c r="F67" s="41">
        <v>25327.05078125</v>
      </c>
      <c r="G67" s="6">
        <f t="shared" si="1"/>
        <v>8.483347186827972E-3</v>
      </c>
      <c r="H67" s="6"/>
      <c r="I67" s="6"/>
      <c r="J67" s="6"/>
    </row>
    <row r="68" spans="2:10" x14ac:dyDescent="0.35">
      <c r="B68" s="32">
        <v>45922</v>
      </c>
      <c r="C68" s="33">
        <v>2467.1142578125</v>
      </c>
      <c r="D68" s="6">
        <f t="shared" si="0"/>
        <v>-1.867492127054371E-2</v>
      </c>
      <c r="F68" s="41">
        <v>24654.69921875</v>
      </c>
      <c r="G68" s="6">
        <f t="shared" si="1"/>
        <v>-2.6546776737138011E-2</v>
      </c>
      <c r="H68" s="6"/>
      <c r="I68" s="6"/>
      <c r="J68" s="6"/>
    </row>
    <row r="69" spans="2:10" x14ac:dyDescent="0.35">
      <c r="B69" s="32">
        <v>45929</v>
      </c>
      <c r="C69" s="33">
        <v>2499.625244140625</v>
      </c>
      <c r="D69" s="6">
        <f t="shared" si="0"/>
        <v>1.3177738414495321E-2</v>
      </c>
      <c r="F69" s="41">
        <v>24894.25</v>
      </c>
      <c r="G69" s="6">
        <f t="shared" si="1"/>
        <v>9.7162321521173656E-3</v>
      </c>
      <c r="H69" s="6"/>
      <c r="I69" s="6"/>
      <c r="J69" s="6"/>
    </row>
    <row r="70" spans="2:10" x14ac:dyDescent="0.35">
      <c r="B70" s="32">
        <v>45936</v>
      </c>
      <c r="C70" s="33">
        <v>2483.909912109375</v>
      </c>
      <c r="D70" s="6">
        <f t="shared" si="0"/>
        <v>-6.2870752598167545E-3</v>
      </c>
      <c r="F70" s="41">
        <v>25285.349609375</v>
      </c>
      <c r="G70" s="6">
        <f t="shared" si="1"/>
        <v>1.5710439534229792E-2</v>
      </c>
      <c r="H70" s="6"/>
      <c r="I70" s="6"/>
      <c r="J70" s="6"/>
    </row>
    <row r="71" spans="2:10" x14ac:dyDescent="0.35">
      <c r="B71" s="32">
        <v>45943</v>
      </c>
      <c r="C71" s="33">
        <v>2557.37939453125</v>
      </c>
      <c r="D71" s="6">
        <f t="shared" si="0"/>
        <v>2.9578159040189789E-2</v>
      </c>
      <c r="F71" s="41">
        <v>25709.849609375</v>
      </c>
      <c r="G71" s="6">
        <f t="shared" si="1"/>
        <v>1.6788377719033409E-2</v>
      </c>
      <c r="H71" s="6"/>
      <c r="I71" s="6"/>
      <c r="J71" s="6"/>
    </row>
    <row r="72" spans="2:10" x14ac:dyDescent="0.35">
      <c r="B72" s="32">
        <v>45950</v>
      </c>
      <c r="C72" s="33">
        <v>2471.632568359375</v>
      </c>
      <c r="D72" s="6">
        <f t="shared" si="0"/>
        <v>-3.3529176920420012E-2</v>
      </c>
      <c r="F72" s="41">
        <v>25795.150390625</v>
      </c>
      <c r="G72" s="6">
        <f t="shared" si="1"/>
        <v>3.3178249793766046E-3</v>
      </c>
      <c r="H72" s="6"/>
      <c r="I72" s="6"/>
      <c r="J72" s="6"/>
    </row>
    <row r="73" spans="2:10" x14ac:dyDescent="0.35">
      <c r="B73" s="32">
        <v>45957</v>
      </c>
      <c r="C73" s="33">
        <v>2421.63818359375</v>
      </c>
      <c r="D73" s="6">
        <f t="shared" ref="D73:D111" si="2">IFERROR(C73/C72-1,0)</f>
        <v>-2.0227272210938008E-2</v>
      </c>
      <c r="F73" s="41">
        <v>25722.099609375</v>
      </c>
      <c r="G73" s="6">
        <f t="shared" ref="G73:G111" si="3">IFERROR(F73/F72-1,0)</f>
        <v>-2.8319579511562054E-3</v>
      </c>
      <c r="H73" s="6"/>
      <c r="I73" s="6"/>
      <c r="J73" s="6"/>
    </row>
    <row r="74" spans="2:10" x14ac:dyDescent="0.35">
      <c r="B74" s="32">
        <v>45964</v>
      </c>
      <c r="C74" s="33">
        <v>2389.693115234375</v>
      </c>
      <c r="D74" s="6">
        <f t="shared" si="2"/>
        <v>-1.3191511669991884E-2</v>
      </c>
      <c r="F74" s="41">
        <v>25492.30078125</v>
      </c>
      <c r="G74" s="6">
        <f t="shared" si="3"/>
        <v>-8.9339063146013364E-3</v>
      </c>
      <c r="H74" s="6"/>
      <c r="I74" s="6"/>
      <c r="J74" s="6"/>
    </row>
    <row r="75" spans="2:10" x14ac:dyDescent="0.35">
      <c r="B75" s="32">
        <v>45971</v>
      </c>
      <c r="C75" s="33">
        <v>2403.255126953125</v>
      </c>
      <c r="D75" s="6">
        <f t="shared" si="2"/>
        <v>5.6752106085471432E-3</v>
      </c>
      <c r="F75" s="41">
        <v>25910.05078125</v>
      </c>
      <c r="G75" s="6">
        <f t="shared" si="3"/>
        <v>1.6387300761305124E-2</v>
      </c>
      <c r="H75" s="6"/>
      <c r="I75" s="6"/>
      <c r="J75" s="6"/>
    </row>
    <row r="76" spans="2:10" x14ac:dyDescent="0.35">
      <c r="B76" s="32">
        <v>45978</v>
      </c>
      <c r="C76" s="33">
        <v>2409.19482421875</v>
      </c>
      <c r="D76" s="6">
        <f t="shared" si="2"/>
        <v>2.4715217285962154E-3</v>
      </c>
      <c r="F76" s="41">
        <v>26068.150390625</v>
      </c>
      <c r="G76" s="6">
        <f t="shared" si="3"/>
        <v>6.1018641263879125E-3</v>
      </c>
      <c r="H76" s="6"/>
      <c r="I76" s="6"/>
      <c r="J76" s="6"/>
    </row>
    <row r="77" spans="2:10" x14ac:dyDescent="0.35">
      <c r="B77" s="32">
        <v>45985</v>
      </c>
      <c r="C77" s="33">
        <v>2441.763671875</v>
      </c>
      <c r="D77" s="6">
        <f t="shared" si="2"/>
        <v>1.3518561192663814E-2</v>
      </c>
      <c r="F77" s="41">
        <v>26202.94921875</v>
      </c>
      <c r="G77" s="6">
        <f t="shared" si="3"/>
        <v>5.1710162057940767E-3</v>
      </c>
      <c r="H77" s="6"/>
      <c r="I77" s="6"/>
      <c r="J77" s="6"/>
    </row>
    <row r="78" spans="2:10" x14ac:dyDescent="0.35">
      <c r="B78" s="32">
        <v>45992</v>
      </c>
      <c r="C78" s="33">
        <v>2315.052490234375</v>
      </c>
      <c r="D78" s="6">
        <f t="shared" si="2"/>
        <v>-5.1893302820467113E-2</v>
      </c>
      <c r="F78" s="41">
        <v>26186.44921875</v>
      </c>
      <c r="G78" s="6">
        <f t="shared" si="3"/>
        <v>-6.2970010979501723E-4</v>
      </c>
      <c r="H78" s="6"/>
      <c r="I78" s="6"/>
      <c r="J78" s="6"/>
    </row>
    <row r="79" spans="2:10" x14ac:dyDescent="0.35">
      <c r="B79" s="32">
        <v>45999</v>
      </c>
      <c r="C79" s="33">
        <v>2237.837890625</v>
      </c>
      <c r="D79" s="6">
        <f t="shared" si="2"/>
        <v>-3.3353282456916489E-2</v>
      </c>
      <c r="F79" s="41">
        <v>26046.94921875</v>
      </c>
      <c r="G79" s="6">
        <f t="shared" si="3"/>
        <v>-5.3271827285432671E-3</v>
      </c>
      <c r="H79" s="6"/>
      <c r="I79" s="6"/>
      <c r="J79" s="6"/>
    </row>
    <row r="80" spans="2:10" x14ac:dyDescent="0.35">
      <c r="B80" s="32">
        <v>46006</v>
      </c>
      <c r="C80" s="33">
        <v>2257.04248046875</v>
      </c>
      <c r="D80" s="6">
        <f t="shared" si="2"/>
        <v>8.5817609596317013E-3</v>
      </c>
      <c r="F80" s="41">
        <v>25966.400390625</v>
      </c>
      <c r="G80" s="6">
        <f t="shared" si="3"/>
        <v>-3.0924476969846904E-3</v>
      </c>
      <c r="H80" s="6"/>
      <c r="I80" s="6"/>
      <c r="J80" s="6"/>
    </row>
    <row r="81" spans="2:10" x14ac:dyDescent="0.35">
      <c r="B81" s="32">
        <v>46013</v>
      </c>
      <c r="C81" s="33">
        <v>2262.387939453125</v>
      </c>
      <c r="D81" s="6">
        <f t="shared" si="2"/>
        <v>2.3683466441735135E-3</v>
      </c>
      <c r="F81" s="41">
        <v>26042.30078125</v>
      </c>
      <c r="G81" s="6">
        <f t="shared" si="3"/>
        <v>2.9230231947130481E-3</v>
      </c>
      <c r="H81" s="6"/>
      <c r="I81" s="6"/>
      <c r="J81" s="6"/>
    </row>
    <row r="82" spans="2:10" x14ac:dyDescent="0.35">
      <c r="B82" s="32">
        <v>46020</v>
      </c>
      <c r="C82" s="33">
        <v>2324.357666015625</v>
      </c>
      <c r="D82" s="6">
        <f t="shared" si="2"/>
        <v>2.7391291069859491E-2</v>
      </c>
      <c r="F82" s="41">
        <v>26328.55078125</v>
      </c>
      <c r="G82" s="6">
        <f t="shared" si="3"/>
        <v>1.099173235131734E-2</v>
      </c>
      <c r="H82" s="6"/>
      <c r="I82" s="6"/>
      <c r="J82" s="6"/>
    </row>
    <row r="83" spans="2:10" x14ac:dyDescent="0.35">
      <c r="B83" s="32">
        <v>46027</v>
      </c>
      <c r="C83" s="33">
        <v>2348.7099609375</v>
      </c>
      <c r="D83" s="6">
        <f t="shared" si="2"/>
        <v>1.0476999851584567E-2</v>
      </c>
      <c r="F83" s="41">
        <v>25683.30078125</v>
      </c>
      <c r="G83" s="6">
        <f t="shared" si="3"/>
        <v>-2.4507615529659854E-2</v>
      </c>
      <c r="H83" s="6"/>
      <c r="I83" s="6"/>
      <c r="J83" s="6"/>
    </row>
    <row r="84" spans="2:10" x14ac:dyDescent="0.35">
      <c r="B84" s="32">
        <v>46034</v>
      </c>
      <c r="C84" s="33">
        <v>2336.6328125</v>
      </c>
      <c r="D84" s="6">
        <f t="shared" si="2"/>
        <v>-5.1420348354461742E-3</v>
      </c>
      <c r="F84" s="41">
        <v>25694.349609375</v>
      </c>
      <c r="G84" s="6">
        <f t="shared" si="3"/>
        <v>4.3019502123597952E-4</v>
      </c>
      <c r="H84" s="6"/>
      <c r="I84" s="6"/>
      <c r="J84" s="6"/>
    </row>
    <row r="85" spans="2:10" x14ac:dyDescent="0.35">
      <c r="B85" s="32">
        <v>46041</v>
      </c>
      <c r="C85" s="33">
        <v>2385.238525390625</v>
      </c>
      <c r="D85" s="6">
        <f t="shared" si="2"/>
        <v>2.0801605040640103E-2</v>
      </c>
      <c r="F85" s="41">
        <v>25048.650390625</v>
      </c>
      <c r="G85" s="6">
        <f t="shared" si="3"/>
        <v>-2.5130008292344796E-2</v>
      </c>
      <c r="H85" s="6"/>
      <c r="I85" s="6"/>
      <c r="J85" s="6"/>
    </row>
    <row r="86" spans="2:10" x14ac:dyDescent="0.35">
      <c r="B86" s="32">
        <v>46048</v>
      </c>
      <c r="C86" s="33">
        <v>2327.030517578125</v>
      </c>
      <c r="D86" s="6">
        <f t="shared" si="2"/>
        <v>-2.4403432693578253E-2</v>
      </c>
      <c r="F86" s="41">
        <v>24825.44921875</v>
      </c>
      <c r="G86" s="6">
        <f t="shared" si="3"/>
        <v>-8.9107065009194075E-3</v>
      </c>
      <c r="H86" s="6"/>
      <c r="I86" s="6"/>
      <c r="J86" s="6"/>
    </row>
    <row r="87" spans="2:10" x14ac:dyDescent="0.35">
      <c r="B87" s="32">
        <v>46055</v>
      </c>
      <c r="C87" s="33">
        <v>2399.790283203125</v>
      </c>
      <c r="D87" s="6">
        <f t="shared" si="2"/>
        <v>3.126721591117132E-2</v>
      </c>
      <c r="F87" s="41">
        <v>25693.69921875</v>
      </c>
      <c r="G87" s="6">
        <f t="shared" si="3"/>
        <v>3.4974190893763746E-2</v>
      </c>
      <c r="H87" s="6"/>
      <c r="I87" s="6"/>
      <c r="J87" s="6"/>
    </row>
    <row r="88" spans="2:10" x14ac:dyDescent="0.35">
      <c r="B88" s="32">
        <v>46062</v>
      </c>
      <c r="C88" s="33">
        <v>2281.988525390625</v>
      </c>
      <c r="D88" s="6">
        <f t="shared" si="2"/>
        <v>-4.908835519379795E-2</v>
      </c>
      <c r="F88" s="41">
        <v>25471.099609375</v>
      </c>
      <c r="G88" s="6">
        <f t="shared" si="3"/>
        <v>-8.6635874219527231E-3</v>
      </c>
      <c r="H88" s="6"/>
      <c r="I88" s="6"/>
      <c r="J88" s="6"/>
    </row>
    <row r="89" spans="2:10" x14ac:dyDescent="0.35">
      <c r="B89" s="32">
        <v>46069</v>
      </c>
      <c r="C89" s="33">
        <v>2291.195068359375</v>
      </c>
      <c r="D89" s="6">
        <f t="shared" si="2"/>
        <v>4.0344387652755387E-3</v>
      </c>
      <c r="F89" s="41">
        <v>25571.25</v>
      </c>
      <c r="G89" s="6">
        <f t="shared" si="3"/>
        <v>3.9319225381277967E-3</v>
      </c>
      <c r="H89" s="6"/>
      <c r="I89" s="6"/>
      <c r="J89" s="6"/>
    </row>
    <row r="90" spans="2:10" x14ac:dyDescent="0.35">
      <c r="B90" s="32">
        <v>46076</v>
      </c>
      <c r="C90" s="33">
        <v>2314.557373046875</v>
      </c>
      <c r="D90" s="6">
        <f t="shared" si="2"/>
        <v>1.0196558560257696E-2</v>
      </c>
      <c r="F90" s="41">
        <v>25178.650390625</v>
      </c>
      <c r="G90" s="6">
        <f t="shared" si="3"/>
        <v>-1.5353164564696709E-2</v>
      </c>
      <c r="H90" s="6"/>
      <c r="I90" s="6"/>
      <c r="J90" s="6"/>
    </row>
    <row r="91" spans="2:10" x14ac:dyDescent="0.35">
      <c r="B91" s="32">
        <v>46083</v>
      </c>
      <c r="C91" s="33">
        <v>2203.2890625</v>
      </c>
      <c r="D91" s="6">
        <f t="shared" si="2"/>
        <v>-4.8073256615973059E-2</v>
      </c>
      <c r="F91" s="41">
        <v>24450.44921875</v>
      </c>
      <c r="G91" s="6">
        <f t="shared" si="3"/>
        <v>-2.8921374282480872E-2</v>
      </c>
      <c r="H91" s="6"/>
      <c r="I91" s="6"/>
      <c r="J91" s="6"/>
    </row>
    <row r="92" spans="2:10" x14ac:dyDescent="0.35">
      <c r="B92" s="32">
        <v>46090</v>
      </c>
      <c r="C92" s="33">
        <v>2138.250732421875</v>
      </c>
      <c r="D92" s="6">
        <f t="shared" si="2"/>
        <v>-2.9518745944450919E-2</v>
      </c>
      <c r="F92" s="41">
        <v>23151.099609375</v>
      </c>
      <c r="G92" s="6">
        <f t="shared" si="3"/>
        <v>-5.3142156929312567E-2</v>
      </c>
      <c r="H92" s="6"/>
      <c r="I92" s="6"/>
      <c r="J92" s="6"/>
    </row>
    <row r="93" spans="2:10" x14ac:dyDescent="0.35">
      <c r="B93" s="32">
        <v>46097</v>
      </c>
      <c r="C93" s="33">
        <v>2061.72900390625</v>
      </c>
      <c r="D93" s="6">
        <f t="shared" si="2"/>
        <v>-3.5787069942425864E-2</v>
      </c>
      <c r="F93" s="41">
        <v>23114.5</v>
      </c>
      <c r="G93" s="6">
        <f t="shared" si="3"/>
        <v>-1.5809015551113692E-3</v>
      </c>
      <c r="H93" s="6"/>
      <c r="I93" s="6"/>
      <c r="J93" s="6"/>
    </row>
    <row r="94" spans="2:10" x14ac:dyDescent="0.35">
      <c r="B94" s="32">
        <v>46104</v>
      </c>
      <c r="C94" s="33">
        <v>2053.512451171875</v>
      </c>
      <c r="D94" s="6">
        <f t="shared" si="2"/>
        <v>-3.9852729038625245E-3</v>
      </c>
      <c r="F94" s="41">
        <v>22819.599609375</v>
      </c>
      <c r="G94" s="6">
        <f t="shared" si="3"/>
        <v>-1.2758242255943242E-2</v>
      </c>
      <c r="H94" s="6"/>
      <c r="I94" s="6"/>
      <c r="J94" s="6"/>
    </row>
    <row r="95" spans="2:10" x14ac:dyDescent="0.35">
      <c r="B95" s="32">
        <v>46111</v>
      </c>
      <c r="C95" s="33">
        <v>2044.504272460938</v>
      </c>
      <c r="D95" s="6">
        <f t="shared" si="2"/>
        <v>-4.3867173563015838E-3</v>
      </c>
      <c r="F95" s="41">
        <v>22713.099609375</v>
      </c>
      <c r="G95" s="6">
        <f t="shared" si="3"/>
        <v>-4.6670406940990672E-3</v>
      </c>
      <c r="H95" s="6"/>
      <c r="I95" s="6"/>
      <c r="J95" s="6"/>
    </row>
    <row r="96" spans="2:10" x14ac:dyDescent="0.35">
      <c r="B96" s="32">
        <v>46118</v>
      </c>
      <c r="C96" s="33">
        <v>2133.59814453125</v>
      </c>
      <c r="D96" s="6">
        <f t="shared" si="2"/>
        <v>4.3577249150509756E-2</v>
      </c>
      <c r="F96" s="41">
        <v>24050.599609375</v>
      </c>
      <c r="G96" s="6">
        <f t="shared" si="3"/>
        <v>5.888672277243634E-2</v>
      </c>
      <c r="H96" s="6"/>
      <c r="I96" s="6"/>
      <c r="J96" s="6"/>
    </row>
    <row r="97" spans="2:10" x14ac:dyDescent="0.35">
      <c r="B97" s="32">
        <v>46125</v>
      </c>
      <c r="C97" s="33">
        <v>2218.237060546875</v>
      </c>
      <c r="D97" s="6">
        <f t="shared" si="2"/>
        <v>3.9669567689008423E-2</v>
      </c>
      <c r="F97" s="41">
        <v>24353.55078125</v>
      </c>
      <c r="G97" s="6">
        <f t="shared" si="3"/>
        <v>1.2596408272370407E-2</v>
      </c>
      <c r="H97" s="6"/>
      <c r="I97" s="6"/>
      <c r="J97" s="6"/>
    </row>
    <row r="98" spans="2:10" x14ac:dyDescent="0.35">
      <c r="B98" s="32">
        <v>46132</v>
      </c>
      <c r="C98" s="33">
        <v>2303.8662109375</v>
      </c>
      <c r="D98" s="6">
        <f t="shared" si="2"/>
        <v>3.8602344137877775E-2</v>
      </c>
      <c r="F98" s="41">
        <v>23897.94921875</v>
      </c>
      <c r="G98" s="6">
        <f t="shared" si="3"/>
        <v>-1.8707808425651451E-2</v>
      </c>
      <c r="H98" s="6"/>
      <c r="I98" s="6"/>
      <c r="J98" s="6"/>
    </row>
    <row r="99" spans="2:10" x14ac:dyDescent="0.35">
      <c r="B99" s="32">
        <v>46139</v>
      </c>
      <c r="C99" s="33">
        <v>2228.2353515625</v>
      </c>
      <c r="D99" s="6">
        <f t="shared" si="2"/>
        <v>-3.2827800076213554E-2</v>
      </c>
      <c r="F99" s="41">
        <v>23997.55078125</v>
      </c>
      <c r="G99" s="6">
        <f t="shared" si="3"/>
        <v>4.1677870175509391E-3</v>
      </c>
      <c r="H99" s="6"/>
      <c r="I99" s="6"/>
      <c r="J99" s="6"/>
    </row>
    <row r="100" spans="2:10" x14ac:dyDescent="0.35">
      <c r="B100" s="32">
        <v>46146</v>
      </c>
      <c r="C100" s="33">
        <v>2264.664794921875</v>
      </c>
      <c r="D100" s="6">
        <f t="shared" si="2"/>
        <v>1.6349010589850721E-2</v>
      </c>
      <c r="F100" s="41">
        <v>24176.150390625</v>
      </c>
      <c r="G100" s="6">
        <f t="shared" si="3"/>
        <v>7.442409894369062E-3</v>
      </c>
      <c r="H100" s="6"/>
      <c r="I100" s="6"/>
      <c r="J100" s="6"/>
    </row>
    <row r="101" spans="2:10" x14ac:dyDescent="0.35">
      <c r="B101" s="32">
        <v>46153</v>
      </c>
      <c r="C101" s="33">
        <v>2249.32080078125</v>
      </c>
      <c r="D101" s="6">
        <f t="shared" si="2"/>
        <v>-6.7753930625986669E-3</v>
      </c>
      <c r="F101" s="41">
        <v>23643.5</v>
      </c>
      <c r="G101" s="6">
        <f t="shared" si="3"/>
        <v>-2.2032059778696267E-2</v>
      </c>
      <c r="H101" s="6"/>
      <c r="I101" s="6"/>
      <c r="J101" s="6"/>
    </row>
    <row r="102" spans="2:10" x14ac:dyDescent="0.35">
      <c r="B102" s="32">
        <v>46160</v>
      </c>
      <c r="C102" s="33">
        <v>2181.411865234375</v>
      </c>
      <c r="D102" s="6">
        <f t="shared" si="2"/>
        <v>-3.0190862736559576E-2</v>
      </c>
      <c r="F102" s="41">
        <v>23719.30078125</v>
      </c>
      <c r="G102" s="6">
        <f t="shared" si="3"/>
        <v>3.2059881679953328E-3</v>
      </c>
      <c r="H102" s="6"/>
      <c r="I102" s="6"/>
      <c r="J102" s="6"/>
    </row>
    <row r="103" spans="2:10" x14ac:dyDescent="0.35">
      <c r="B103" s="32">
        <v>46167</v>
      </c>
      <c r="C103" s="33">
        <v>2131.816162109375</v>
      </c>
      <c r="D103" s="6">
        <f t="shared" si="2"/>
        <v>-2.2735597947099007E-2</v>
      </c>
      <c r="F103" s="41">
        <v>23547.75</v>
      </c>
      <c r="G103" s="6">
        <f t="shared" si="3"/>
        <v>-7.2325395605932208E-3</v>
      </c>
      <c r="H103" s="6"/>
      <c r="I103" s="6"/>
      <c r="J103" s="6"/>
    </row>
    <row r="104" spans="2:10" x14ac:dyDescent="0.35">
      <c r="B104" s="32">
        <v>46174</v>
      </c>
      <c r="C104" s="33">
        <v>2100.138427734375</v>
      </c>
      <c r="D104" s="6">
        <f t="shared" si="2"/>
        <v>-1.4859505682542351E-2</v>
      </c>
      <c r="F104" s="41">
        <v>23366.69921875</v>
      </c>
      <c r="G104" s="6">
        <f t="shared" si="3"/>
        <v>-7.6886658491788218E-3</v>
      </c>
      <c r="H104" s="6"/>
      <c r="I104" s="6"/>
      <c r="J104" s="6"/>
    </row>
    <row r="105" spans="2:10" x14ac:dyDescent="0.35">
      <c r="B105" s="32">
        <v>46181</v>
      </c>
      <c r="C105" s="33">
        <v>2146.962158203125</v>
      </c>
      <c r="D105" s="6">
        <f t="shared" si="2"/>
        <v>2.2295544831901104E-2</v>
      </c>
      <c r="F105" s="41">
        <v>23622.900390625</v>
      </c>
      <c r="G105" s="6">
        <f t="shared" si="3"/>
        <v>1.0964371539024187E-2</v>
      </c>
      <c r="H105" s="6"/>
      <c r="I105" s="6"/>
      <c r="J105" s="6"/>
    </row>
    <row r="106" spans="2:10" x14ac:dyDescent="0.35">
      <c r="B106" s="32">
        <v>46188</v>
      </c>
      <c r="C106" s="33">
        <v>2172.50244140625</v>
      </c>
      <c r="D106" s="6">
        <f t="shared" si="2"/>
        <v>1.1896009953198616E-2</v>
      </c>
      <c r="F106" s="41">
        <v>24013.099609375</v>
      </c>
      <c r="G106" s="6">
        <f t="shared" si="3"/>
        <v>1.6517837026686744E-2</v>
      </c>
      <c r="H106" s="6"/>
      <c r="I106" s="6"/>
      <c r="J106" s="6"/>
    </row>
    <row r="107" spans="2:10" x14ac:dyDescent="0.35">
      <c r="B107" s="32">
        <v>46195</v>
      </c>
      <c r="C107" s="33">
        <v>2174.199951171875</v>
      </c>
      <c r="D107" s="6">
        <f t="shared" si="2"/>
        <v>7.8136149965679635E-4</v>
      </c>
      <c r="F107" s="41">
        <v>24056</v>
      </c>
      <c r="G107" s="6">
        <f t="shared" si="3"/>
        <v>1.78654115140775E-3</v>
      </c>
      <c r="H107" s="6"/>
      <c r="I107" s="6"/>
      <c r="J107" s="6"/>
    </row>
    <row r="108" spans="2:10" x14ac:dyDescent="0.35">
      <c r="B108" s="32">
        <v>46202</v>
      </c>
      <c r="C108" s="33">
        <v>2201.199951171875</v>
      </c>
      <c r="D108" s="6">
        <f t="shared" si="2"/>
        <v>1.2418361055268834E-2</v>
      </c>
      <c r="F108" s="41">
        <v>24270.849609375</v>
      </c>
      <c r="G108" s="6">
        <f t="shared" si="3"/>
        <v>8.9312275263966345E-3</v>
      </c>
      <c r="H108" s="6"/>
      <c r="I108" s="6"/>
      <c r="J108" s="6"/>
    </row>
    <row r="109" spans="2:10" x14ac:dyDescent="0.35">
      <c r="B109" s="32">
        <v>46209</v>
      </c>
      <c r="C109" s="33">
        <v>2150.60009765625</v>
      </c>
      <c r="D109" s="6">
        <f t="shared" si="2"/>
        <v>-2.298739534710903E-2</v>
      </c>
      <c r="F109" s="41">
        <v>24206.900390625</v>
      </c>
      <c r="G109" s="6">
        <f t="shared" si="3"/>
        <v>-2.6348158296567448E-3</v>
      </c>
      <c r="H109" s="6"/>
      <c r="I109" s="6"/>
      <c r="J109" s="6"/>
    </row>
    <row r="110" spans="2:10" x14ac:dyDescent="0.35">
      <c r="B110" s="32">
        <v>46216</v>
      </c>
      <c r="C110" s="33">
        <v>2143.800048828125</v>
      </c>
      <c r="D110" s="6">
        <f t="shared" si="2"/>
        <v>-3.1619308654992073E-3</v>
      </c>
      <c r="F110" s="41">
        <v>24334.30078125</v>
      </c>
      <c r="G110" s="6">
        <f t="shared" si="3"/>
        <v>5.2629782652529045E-3</v>
      </c>
      <c r="H110" s="6"/>
      <c r="I110" s="6"/>
      <c r="J110" s="6"/>
    </row>
    <row r="111" spans="2:10" x14ac:dyDescent="0.35">
      <c r="B111" s="32">
        <v>46223</v>
      </c>
      <c r="C111" s="33">
        <v>2161.800048828125</v>
      </c>
      <c r="D111" s="6">
        <f t="shared" si="2"/>
        <v>8.3963054342868215E-3</v>
      </c>
      <c r="F111" s="41">
        <v>23869.599609375</v>
      </c>
      <c r="G111" s="6">
        <f t="shared" si="3"/>
        <v>-1.909654919006587E-2</v>
      </c>
      <c r="H111" s="6"/>
      <c r="I111" s="6"/>
      <c r="J111" s="6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35F9-635F-44B8-843C-D8098BA3B984}">
  <sheetPr>
    <tabColor rgb="FF002060"/>
  </sheetPr>
  <dimension ref="B2:F6"/>
  <sheetViews>
    <sheetView workbookViewId="0">
      <selection activeCell="B2" sqref="B2:F6"/>
    </sheetView>
  </sheetViews>
  <sheetFormatPr defaultRowHeight="14.5" x14ac:dyDescent="0.35"/>
  <cols>
    <col min="2" max="2" width="15" bestFit="1" customWidth="1"/>
    <col min="3" max="3" width="4.7265625" bestFit="1" customWidth="1"/>
    <col min="4" max="4" width="6.81640625" bestFit="1" customWidth="1"/>
    <col min="5" max="5" width="8.81640625" bestFit="1" customWidth="1"/>
    <col min="6" max="6" width="6.90625" bestFit="1" customWidth="1"/>
  </cols>
  <sheetData>
    <row r="2" spans="2:6" x14ac:dyDescent="0.35">
      <c r="B2" t="s">
        <v>16</v>
      </c>
      <c r="C2" t="s">
        <v>17</v>
      </c>
      <c r="D2">
        <v>1139</v>
      </c>
      <c r="E2">
        <v>611503.9</v>
      </c>
      <c r="F2" s="4">
        <v>0.3</v>
      </c>
    </row>
    <row r="3" spans="2:6" x14ac:dyDescent="0.35">
      <c r="B3" t="s">
        <v>18</v>
      </c>
      <c r="C3" t="s">
        <v>17</v>
      </c>
      <c r="D3">
        <v>279.89999999999998</v>
      </c>
      <c r="E3">
        <v>182975</v>
      </c>
      <c r="F3" s="4">
        <v>0.3</v>
      </c>
    </row>
    <row r="4" spans="2:6" x14ac:dyDescent="0.35">
      <c r="B4" t="s">
        <v>19</v>
      </c>
      <c r="C4" t="s">
        <v>17</v>
      </c>
      <c r="D4">
        <v>3037.7</v>
      </c>
      <c r="E4">
        <v>110690</v>
      </c>
      <c r="F4" s="4">
        <v>0.3</v>
      </c>
    </row>
    <row r="5" spans="2:6" x14ac:dyDescent="0.35">
      <c r="B5" t="s">
        <v>20</v>
      </c>
      <c r="C5" t="s">
        <v>17</v>
      </c>
      <c r="D5">
        <v>1164.5</v>
      </c>
      <c r="E5">
        <v>96256.4</v>
      </c>
      <c r="F5" s="4">
        <v>0.3</v>
      </c>
    </row>
    <row r="6" spans="2:6" x14ac:dyDescent="0.35">
      <c r="B6" t="s">
        <v>21</v>
      </c>
      <c r="C6" t="s">
        <v>17</v>
      </c>
      <c r="D6">
        <v>1068.0999999999999</v>
      </c>
      <c r="E6">
        <v>94940.4</v>
      </c>
      <c r="F6" s="4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WACC</vt:lpstr>
      <vt:lpstr>Beta</vt:lpstr>
      <vt:lpstr>Data&gt;</vt:lpstr>
      <vt:lpstr>DCF&gt;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 K</dc:creator>
  <cp:lastModifiedBy>BINI K</cp:lastModifiedBy>
  <dcterms:created xsi:type="dcterms:W3CDTF">2026-07-23T13:10:04Z</dcterms:created>
  <dcterms:modified xsi:type="dcterms:W3CDTF">2026-07-27T05:22:26Z</dcterms:modified>
</cp:coreProperties>
</file>